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说明" sheetId="1" state="visible" r:id="rId1"/>
    <sheet name="核心景点核验" sheetId="2" state="visible" r:id="rId2"/>
    <sheet name="入口" sheetId="3" state="visible" r:id="rId3"/>
  </sheets>
  <definedNames>
    <definedName name="_xlnm._FilterDatabase" localSheetId="1" hidden="1">'核心景点核验'!$A$1:$X$48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1"/>
    </font>
    <font>
      <name val="Arial"/>
      <charset val="1"/>
      <family val="0"/>
      <b val="1"/>
      <sz val="11"/>
    </font>
    <font>
      <name val="Noto Sans CJK SC"/>
      <family val="2"/>
      <sz val="11"/>
    </font>
    <font>
      <name val="Arial"/>
      <charset val="1"/>
      <family val="0"/>
      <sz val="11"/>
    </font>
    <font>
      <name val="Arial"/>
      <charset val="1"/>
      <family val="0"/>
      <color rgb="FF1F4FBF"/>
      <sz val="11"/>
    </font>
    <font>
      <name val="Noto Sans CJK SC"/>
      <family val="2"/>
      <color rgb="FF1F4FBF"/>
      <sz val="11"/>
    </font>
    <font>
      <name val="Noto Sans CJK SC"/>
      <family val="2"/>
      <i val="1"/>
      <color rgb="FF666666"/>
      <sz val="11"/>
    </font>
    <font>
      <name val="Arial"/>
      <charset val="1"/>
      <family val="0"/>
      <i val="1"/>
      <color rgb="FF666666"/>
      <sz val="11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olor rgb="00000000"/>
    </font>
    <font>
      <name val="Arial"/>
      <color rgb="001F4FBF"/>
    </font>
  </fonts>
  <fills count="7">
    <fill>
      <patternFill/>
    </fill>
    <fill>
      <patternFill patternType="gray125"/>
    </fill>
    <fill>
      <patternFill patternType="solid">
        <fgColor rgb="FF2F5D50"/>
        <bgColor rgb="FF666666"/>
      </patternFill>
    </fill>
    <fill>
      <patternFill patternType="solid">
        <fgColor rgb="FFEEF1EF"/>
        <bgColor rgb="FFFFFFFF"/>
      </patternFill>
    </fill>
    <fill>
      <patternFill patternType="solid">
        <fgColor rgb="FFFFF7CC"/>
        <bgColor rgb="FFEEF1EF"/>
      </patternFill>
    </fill>
    <fill>
      <patternFill patternType="solid">
        <fgColor rgb="00EEF1EF"/>
      </patternFill>
    </fill>
    <fill>
      <patternFill patternType="solid">
        <fgColor rgb="00FFF7CC"/>
      </patternFill>
    </fill>
  </fills>
  <borders count="3">
    <border>
      <left/>
      <right/>
      <top/>
      <bottom/>
      <diagonal/>
    </border>
    <border>
      <left style="thin">
        <color rgb="FFC9CFCB"/>
      </left>
      <right style="thin">
        <color rgb="FFC9CFCB"/>
      </right>
      <top style="thin">
        <color rgb="FFC9CFCB"/>
      </top>
      <bottom style="thin">
        <color rgb="FFC9CFCB"/>
      </bottom>
      <diagonal/>
    </border>
    <border>
      <left style="thin">
        <color rgb="00C9CFCB"/>
      </left>
      <right style="thin">
        <color rgb="00C9CFCB"/>
      </right>
      <top style="thin">
        <color rgb="00C9CFCB"/>
      </top>
      <bottom style="thin">
        <color rgb="00C9CFC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center" wrapText="1"/>
    </xf>
    <xf numFmtId="0" fontId="13" fillId="2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center" wrapText="1"/>
    </xf>
    <xf numFmtId="0" fontId="13" fillId="2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general" vertical="bottom" wrapText="1"/>
    </xf>
    <xf numFmtId="0" fontId="14" fillId="5" borderId="2" applyAlignment="1" pivotButton="0" quotePrefix="0" xfId="0">
      <alignment vertical="top" wrapText="1"/>
    </xf>
    <xf numFmtId="0" fontId="15" fillId="6" borderId="2" applyAlignment="1" pivotButton="0" quotePrefix="0" xfId="0">
      <alignment vertical="top" wrapText="1"/>
    </xf>
    <xf numFmtId="0" fontId="14" fillId="6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D50"/>
          <bgColor rgb="FF000000"/>
        </patternFill>
      </fill>
    </dxf>
    <dxf>
      <fill>
        <patternFill patternType="solid">
          <fgColor rgb="FFEEF1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 patternType="solid">
          <fgColor rgb="FF1F4FB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FCB"/>
      <rgbColor rgb="FF808080"/>
      <rgbColor rgb="FF9999FF"/>
      <rgbColor rgb="FF993366"/>
      <rgbColor rgb="FFFFF7CC"/>
      <rgbColor rgb="FFEEF1EF"/>
      <rgbColor rgb="FF660066"/>
      <rgbColor rgb="FFFF8080"/>
      <rgbColor rgb="FF1F4F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16" min="1" max="1"/>
    <col width="12" customWidth="1" style="16" min="2" max="2"/>
  </cols>
  <sheetData>
    <row r="1" ht="17.15" customHeight="1" s="17">
      <c r="A1" s="18" t="inlineStr">
        <is>
          <t>核心景点核验表 · Person A</t>
        </is>
      </c>
    </row>
    <row r="2" ht="32.8" customHeight="1" s="17">
      <c r="A2" s="19" t="inlineStr">
        <is>
          <t>用途：核验 PlayMap 核心景点的开放时间、最后入场、休息日、收费、建议游玩时长和入口。核对完后，Claude 会把「已确认」的行写回 app 的数据。</t>
        </is>
      </c>
    </row>
    <row r="3" ht="15" customHeight="1" s="17">
      <c r="A3" s="19" t="n"/>
    </row>
    <row r="4" ht="17.15" customHeight="1" s="17">
      <c r="A4" s="18" t="inlineStr">
        <is>
          <t>怎么填</t>
        </is>
      </c>
    </row>
    <row r="5" ht="17.15" customHeight="1" s="17">
      <c r="A5" s="20" t="inlineStr">
        <is>
          <t>1. 灰色列是项目现有数据（名称、地点 ID、坐标、STB 旧开放时间），只作参考，不要改。</t>
        </is>
      </c>
    </row>
    <row r="6" ht="32.8" customHeight="1" s="17">
      <c r="A6" s="20" t="inlineStr">
        <is>
          <t>2. 黄色列由 Claude 按官网或公开资料整理（蓝色字）。状态「资料核对（Claude）」= 有来源但未实地核验；「待补充」= 找不到可读的官方资料。备注里写明了用的是哪种资料（官网 / STB 旧资料 / 公共区域常识）。</t>
        </is>
      </c>
    </row>
    <row r="7" ht="32.8" customHeight="1" s="17">
      <c r="A7" s="20" t="inlineStr">
        <is>
          <t>3. 游玩时长填三档分钟数：短 / 一般 / 长。「时长依据」选：官方（运营方写明）/ 估计（团队判断）/ 人工核验（实地或多来源确认）。</t>
        </is>
      </c>
    </row>
    <row r="8" ht="32.8" customHeight="1" s="17">
      <c r="A8" s="20" t="inlineStr">
        <is>
          <t>4. 入口写在「入口」表，一个入口一行。坐标可在 Google Maps 或 OneMap 上右键复制（纬度, 经度）。大公园只记 2–4 个主要入口。</t>
        </is>
      </c>
    </row>
    <row r="9" ht="17.15" customHeight="1" s="17">
      <c r="A9" s="20" t="inlineStr">
        <is>
          <t>5. 核对完一行，把「核验状态」改成「已确认」，填上核验日期和核验人。有问题就选「需修改」并写在备注里。</t>
        </is>
      </c>
    </row>
    <row r="10" ht="15" customHeight="1" s="17">
      <c r="A10" s="19" t="n"/>
    </row>
    <row r="11" ht="17.15" customHeight="1" s="17">
      <c r="A11" s="18" t="inlineStr">
        <is>
          <t>示例（一行填好后的样子）</t>
        </is>
      </c>
    </row>
    <row r="12" ht="32.8" customHeight="1" s="17">
      <c r="A12" s="21" t="inlineStr">
        <is>
          <t>Singapore Zoo｜开放时间：每日 8:30–18:00｜最后入场：17:00｜休息日：无｜收费：收费｜时长 120 / 150 / 240｜依据：官方（官方建议 2.5 小时）｜状态：已确认｜2026-10-25｜核验人姓名</t>
        </is>
      </c>
    </row>
    <row r="13" ht="15" customHeight="1" s="17">
      <c r="A13" s="19" t="n"/>
    </row>
    <row r="14" ht="17.15" customHeight="1" s="17">
      <c r="A14" s="18" t="inlineStr">
        <is>
          <t>进度</t>
        </is>
      </c>
    </row>
    <row r="15" ht="15" customHeight="1" s="17">
      <c r="A15" s="22" t="inlineStr">
        <is>
          <t>核心景点总数</t>
        </is>
      </c>
      <c r="B15" s="22">
        <f>COUNTA(核心景点核验!D2:D200)</f>
        <v/>
      </c>
    </row>
    <row r="16" ht="17.15" customHeight="1" s="17">
      <c r="A16" s="22" t="inlineStr">
        <is>
          <t>已有资料（资料核对 + 已确认）</t>
        </is>
      </c>
      <c r="B16" s="22">
        <f>COUNTIF(核心景点核验!V2:V200,"资料核对（Claude）")+COUNTIF(核心景点核验!V2:V200,"已确认")</f>
        <v/>
      </c>
    </row>
    <row r="17" ht="15" customHeight="1" s="17">
      <c r="A17" s="22" t="inlineStr">
        <is>
          <t>待补充</t>
        </is>
      </c>
      <c r="B17" s="22">
        <f>COUNTIF(核心景点核验!V2:V200,"待补充")</f>
        <v/>
      </c>
    </row>
    <row r="18" ht="15" customHeight="1" s="17">
      <c r="A18" s="22" t="inlineStr">
        <is>
          <t>已登记入口数</t>
        </is>
      </c>
      <c r="B18" s="22">
        <f>COUNTA(入口!C2:C500)</f>
        <v/>
      </c>
    </row>
    <row r="20" ht="17.15" customHeight="1" s="17">
      <c r="A20" s="23" t="inlineStr">
        <is>
          <t>数据来源：PlayMap Stage1C 目录（含 Overture 2026-10-21.0）；预填信息核验日期 2026-10-22，来源见每行链接。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X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16" min="1" max="1"/>
    <col width="7" customWidth="1" style="16" min="2" max="2"/>
    <col width="12" customWidth="1" style="16" min="3" max="3"/>
    <col width="30" customWidth="1" style="16" min="4" max="4"/>
    <col width="34" customWidth="1" style="16" min="5" max="5"/>
    <col width="9" customWidth="1" style="16" min="6" max="6"/>
    <col width="10" customWidth="1" style="16" min="7" max="7"/>
    <col width="11" customWidth="1" style="16" min="8" max="8"/>
    <col width="36" customWidth="1" style="16" min="9" max="9"/>
    <col width="30" customWidth="1" style="16" min="10" max="10"/>
    <col width="14" customWidth="1" style="16" min="11" max="11"/>
    <col width="22" customWidth="1" style="16" min="12" max="12"/>
    <col width="20" customWidth="1" style="16" min="13" max="13"/>
    <col width="10" customWidth="1" style="16" min="14" max="17"/>
    <col width="18" customWidth="1" style="16" min="18" max="18"/>
    <col width="30" customWidth="1" style="16" min="19" max="19"/>
    <col width="40" customWidth="1" style="16" min="20" max="20"/>
    <col width="36" customWidth="1" style="16" min="21" max="21"/>
    <col width="10" customWidth="1" style="16" min="22" max="22"/>
    <col width="12" customWidth="1" style="16" min="23" max="23"/>
    <col width="10" customWidth="1" style="16" min="24" max="24"/>
  </cols>
  <sheetData>
    <row r="1" ht="42" customHeight="1" s="17">
      <c r="A1" s="24" t="inlineStr">
        <is>
          <t>序号</t>
        </is>
      </c>
      <c r="B1" s="24" t="inlineStr">
        <is>
          <t>优先级</t>
        </is>
      </c>
      <c r="C1" s="24" t="inlineStr">
        <is>
          <t>区域</t>
        </is>
      </c>
      <c r="D1" s="24" t="inlineStr">
        <is>
          <t>景点</t>
        </is>
      </c>
      <c r="E1" s="24" t="inlineStr">
        <is>
          <t>地点 ID</t>
        </is>
      </c>
      <c r="F1" s="25" t="inlineStr">
        <is>
          <t>app 类别</t>
        </is>
      </c>
      <c r="G1" s="24" t="inlineStr">
        <is>
          <t>纬度</t>
        </is>
      </c>
      <c r="H1" s="24" t="inlineStr">
        <is>
          <t>经度</t>
        </is>
      </c>
      <c r="I1" s="25" t="inlineStr">
        <is>
          <t>STB 旧开放时间（参考，约 2018 年）</t>
        </is>
      </c>
      <c r="J1" s="24" t="inlineStr">
        <is>
          <t>开放时间</t>
        </is>
      </c>
      <c r="K1" s="24" t="inlineStr">
        <is>
          <t>最后入场</t>
        </is>
      </c>
      <c r="L1" s="24" t="inlineStr">
        <is>
          <t>休息日 / 闭馆</t>
        </is>
      </c>
      <c r="M1" s="24" t="inlineStr">
        <is>
          <t>收费</t>
        </is>
      </c>
      <c r="N1" s="24" t="inlineStr">
        <is>
          <t>时长·短（分钟）</t>
        </is>
      </c>
      <c r="O1" s="24" t="inlineStr">
        <is>
          <t>时长·一般（分钟）</t>
        </is>
      </c>
      <c r="P1" s="24" t="inlineStr">
        <is>
          <t>时长·长（分钟）</t>
        </is>
      </c>
      <c r="Q1" s="24" t="inlineStr">
        <is>
          <t>时长依据</t>
        </is>
      </c>
      <c r="R1" s="24" t="inlineStr">
        <is>
          <t>时长说明</t>
        </is>
      </c>
      <c r="S1" s="24" t="inlineStr">
        <is>
          <t>主要入口（详见「入口」表）</t>
        </is>
      </c>
      <c r="T1" s="24" t="inlineStr">
        <is>
          <t>来源链接</t>
        </is>
      </c>
      <c r="U1" s="24" t="inlineStr">
        <is>
          <t>备注 / 问题</t>
        </is>
      </c>
      <c r="V1" s="24" t="inlineStr">
        <is>
          <t>核验状态</t>
        </is>
      </c>
      <c r="W1" s="24" t="inlineStr">
        <is>
          <t>核验日期</t>
        </is>
      </c>
      <c r="X1" s="24" t="inlineStr">
        <is>
          <t>核验人</t>
        </is>
      </c>
    </row>
    <row r="2" ht="64.15000000000001" customHeight="1" s="17">
      <c r="A2" s="26" t="n">
        <v>1</v>
      </c>
      <c r="B2" s="26" t="inlineStr">
        <is>
          <t>★</t>
        </is>
      </c>
      <c r="C2" s="27" t="inlineStr">
        <is>
          <t>滨海湾/市中心</t>
        </is>
      </c>
      <c r="D2" s="26" t="inlineStr">
        <is>
          <t>Gardens by the Bay</t>
        </is>
      </c>
      <c r="E2" s="26" t="inlineStr">
        <is>
          <t>place:stb_attractions:997</t>
        </is>
      </c>
      <c r="F2" s="26" t="inlineStr">
        <is>
          <t>tourism</t>
        </is>
      </c>
      <c r="G2" s="27" t="n">
        <v>1.282</v>
      </c>
      <c r="H2" s="27" t="n">
        <v>103.863613</v>
      </c>
      <c r="I2" s="26" t="inlineStr">
        <is>
          <t>Outdoor Gardens: 5am – 2am,Conservatories: 9am – 9pm,OCBC Skyway: 9am – 9pm</t>
        </is>
      </c>
      <c r="J2" s="28" t="inlineStr">
        <is>
          <t>户外花园 每日 5:00–次日 2:00；花穹/云雾林 9:00–21:00</t>
        </is>
      </c>
      <c r="K2" s="28" t="inlineStr">
        <is>
          <t>花穹 20:30；云雾林 20:00</t>
        </is>
      </c>
      <c r="L2" s="28" t="inlineStr">
        <is>
          <t>户外花园无；室内馆每月闭馆维护一天（日期见官网）</t>
        </is>
      </c>
      <c r="M2" s="28" t="inlineStr">
        <is>
          <t>户外免费，室内馆收费</t>
        </is>
      </c>
      <c r="N2" s="29" t="n">
        <v>60</v>
      </c>
      <c r="O2" s="29" t="n">
        <v>150</v>
      </c>
      <c r="P2" s="29" t="n">
        <v>240</v>
      </c>
      <c r="Q2" s="28" t="inlineStr">
        <is>
          <t>估计</t>
        </is>
      </c>
      <c r="R2" s="28" t="inlineStr">
        <is>
          <t>户外约 1 小时，加两馆约 2.5 小时</t>
        </is>
      </c>
      <c r="S2" s="29" t="inlineStr">
        <is>
          <t>Bayfront 地铁站方向入口；Gardens by the Bay 地铁站（TEL）入口；Satay by the Bay / 东侧入口</t>
        </is>
      </c>
      <c r="T2" s="29" t="inlineStr">
        <is>
          <t>https://www.gardensbythebay.com.sg/en/plan-your-visit/opening-hours.html</t>
        </is>
      </c>
      <c r="U2" s="30" t="n"/>
      <c r="V2" s="31" t="inlineStr">
        <is>
          <t>资料核对（Claude）</t>
        </is>
      </c>
      <c r="W2" s="30" t="inlineStr">
        <is>
          <t>2026-10-22</t>
        </is>
      </c>
      <c r="X2" s="30" t="inlineStr">
        <is>
          <t>Claude（资料整理）</t>
        </is>
      </c>
    </row>
    <row r="3" ht="48.5" customHeight="1" s="17">
      <c r="A3" s="27" t="n">
        <v>2</v>
      </c>
      <c r="B3" s="26" t="inlineStr">
        <is>
          <t>★</t>
        </is>
      </c>
      <c r="C3" s="27" t="inlineStr">
        <is>
          <t>滨海湾/市中心</t>
        </is>
      </c>
      <c r="D3" s="26" t="inlineStr">
        <is>
          <t>Marina Bay Sands SkyPark</t>
        </is>
      </c>
      <c r="E3" s="26" t="inlineStr">
        <is>
          <t>place:stb_attractions:983</t>
        </is>
      </c>
      <c r="F3" s="26" t="inlineStr">
        <is>
          <t>tourism</t>
        </is>
      </c>
      <c r="G3" s="27" t="n">
        <v>1.283</v>
      </c>
      <c r="H3" s="27" t="n">
        <v>103.86081</v>
      </c>
      <c r="I3" s="26" t="inlineStr">
        <is>
          <t>Monday to Thursday, 9.30am - 10pm.Friday to Sunday, 9.30am - 11pm</t>
        </is>
      </c>
      <c r="J3" s="28" t="inlineStr">
        <is>
          <t>非高峰 9:30–16:30；高峰 17:00–22:00</t>
        </is>
      </c>
      <c r="K3" s="29" t="inlineStr">
        <is>
          <t>16:00 / 21:30</t>
        </is>
      </c>
      <c r="L3" s="28" t="inlineStr">
        <is>
          <t>官网未列</t>
        </is>
      </c>
      <c r="M3" s="28" t="inlineStr">
        <is>
          <t>收费（非高峰 S$35，高峰 S$39 成人）</t>
        </is>
      </c>
      <c r="N3" s="29" t="n">
        <v>30</v>
      </c>
      <c r="O3" s="29" t="n">
        <v>45</v>
      </c>
      <c r="P3" s="29" t="n">
        <v>60</v>
      </c>
      <c r="Q3" s="28" t="inlineStr">
        <is>
          <t>估计</t>
        </is>
      </c>
      <c r="R3" s="30" t="n"/>
      <c r="S3" s="29" t="inlineStr">
        <is>
          <t>Hotel Tower 3 一楼大堂（经 Tower 3 车道），上 56 楼</t>
        </is>
      </c>
      <c r="T3" s="29" t="inlineStr">
        <is>
          <t>https://www.marinabaysands.com/attractions/sands-skypark.html</t>
        </is>
      </c>
      <c r="U3" s="29" t="inlineStr">
        <is>
          <t>16:30–17:00 之间不开放</t>
        </is>
      </c>
      <c r="V3" s="31" t="inlineStr">
        <is>
          <t>资料核对（Claude）</t>
        </is>
      </c>
      <c r="W3" s="30" t="inlineStr">
        <is>
          <t>2026-10-22</t>
        </is>
      </c>
      <c r="X3" s="30" t="inlineStr">
        <is>
          <t>Claude（资料整理）</t>
        </is>
      </c>
    </row>
    <row r="4" ht="48.5" customHeight="1" s="17">
      <c r="A4" s="27" t="n">
        <v>3</v>
      </c>
      <c r="B4" s="26" t="inlineStr">
        <is>
          <t>★</t>
        </is>
      </c>
      <c r="C4" s="27" t="inlineStr">
        <is>
          <t>滨海湾/市中心</t>
        </is>
      </c>
      <c r="D4" s="26" t="inlineStr">
        <is>
          <t>Merlion Park</t>
        </is>
      </c>
      <c r="E4" s="26" t="inlineStr">
        <is>
          <t>place:stb_attractions:982</t>
        </is>
      </c>
      <c r="F4" s="26" t="inlineStr">
        <is>
          <t>tourism</t>
        </is>
      </c>
      <c r="G4" s="27" t="n">
        <v>1.287</v>
      </c>
      <c r="H4" s="27" t="n">
        <v>103.854552</v>
      </c>
      <c r="I4" s="27" t="n"/>
      <c r="J4" s="28" t="inlineStr">
        <is>
          <t>全天开放</t>
        </is>
      </c>
      <c r="K4" s="30" t="n"/>
      <c r="L4" s="28" t="inlineStr">
        <is>
          <t>无</t>
        </is>
      </c>
      <c r="M4" s="28" t="inlineStr">
        <is>
          <t>免费</t>
        </is>
      </c>
      <c r="N4" s="29" t="n">
        <v>10</v>
      </c>
      <c r="O4" s="29" t="n">
        <v>20</v>
      </c>
      <c r="P4" s="29" t="n">
        <v>30</v>
      </c>
      <c r="Q4" s="28" t="inlineStr">
        <is>
          <t>估计</t>
        </is>
      </c>
      <c r="R4" s="30" t="n"/>
      <c r="S4" s="30" t="n"/>
      <c r="T4" s="30" t="n"/>
      <c r="U4" s="28" t="inlineStr">
        <is>
          <t>无门票的公共区域，按一般情况填写为全天开放，未见官方页面；鱼尾狮公园，Fullerton 酒店前</t>
        </is>
      </c>
      <c r="V4" s="31" t="inlineStr">
        <is>
          <t>资料核对（Claude）</t>
        </is>
      </c>
      <c r="W4" s="30" t="inlineStr">
        <is>
          <t>2026-10-22</t>
        </is>
      </c>
      <c r="X4" s="30" t="inlineStr">
        <is>
          <t>Claude（资料整理）</t>
        </is>
      </c>
    </row>
    <row r="5" ht="48.5" customHeight="1" s="17">
      <c r="A5" s="27" t="n">
        <v>4</v>
      </c>
      <c r="B5" s="26" t="inlineStr">
        <is>
          <t>★</t>
        </is>
      </c>
      <c r="C5" s="27" t="inlineStr">
        <is>
          <t>滨海湾/市中心</t>
        </is>
      </c>
      <c r="D5" s="26" t="inlineStr">
        <is>
          <t>ArtScience Museum</t>
        </is>
      </c>
      <c r="E5" s="26" t="inlineStr">
        <is>
          <t>place:stb_attractions:1027</t>
        </is>
      </c>
      <c r="F5" s="26" t="inlineStr">
        <is>
          <t>tourism</t>
        </is>
      </c>
      <c r="G5" s="27" t="n">
        <v>1.286</v>
      </c>
      <c r="H5" s="27" t="n">
        <v>103.85929</v>
      </c>
      <c r="I5" s="26" t="inlineStr">
        <is>
          <t>Daily, 10am – 7pm, Last admission at 6pm</t>
        </is>
      </c>
      <c r="J5" s="28" t="inlineStr">
        <is>
          <t>每日 9:00–18:00</t>
        </is>
      </c>
      <c r="K5" s="29" t="inlineStr">
        <is>
          <t>17:00</t>
        </is>
      </c>
      <c r="L5" s="28" t="inlineStr">
        <is>
          <t>无（官网写每日开放）</t>
        </is>
      </c>
      <c r="M5" s="28" t="inlineStr">
        <is>
          <t>收费</t>
        </is>
      </c>
      <c r="N5" s="29" t="n">
        <v>45</v>
      </c>
      <c r="O5" s="29" t="n">
        <v>90</v>
      </c>
      <c r="P5" s="29" t="n">
        <v>120</v>
      </c>
      <c r="Q5" s="28" t="inlineStr">
        <is>
          <t>估计</t>
        </is>
      </c>
      <c r="R5" s="30" t="n"/>
      <c r="S5" s="30" t="n"/>
      <c r="T5" s="29" t="inlineStr">
        <is>
          <t>https://www.marinabaysands.com/museum/visitor-information.html</t>
        </is>
      </c>
      <c r="U5" s="30" t="n"/>
      <c r="V5" s="31" t="inlineStr">
        <is>
          <t>资料核对（Claude）</t>
        </is>
      </c>
      <c r="W5" s="30" t="inlineStr">
        <is>
          <t>2026-10-22</t>
        </is>
      </c>
      <c r="X5" s="30" t="inlineStr">
        <is>
          <t>Claude（资料整理）</t>
        </is>
      </c>
    </row>
    <row r="6" ht="48.5" customHeight="1" s="17">
      <c r="A6" s="27" t="n">
        <v>5</v>
      </c>
      <c r="B6" s="26" t="inlineStr">
        <is>
          <t>★</t>
        </is>
      </c>
      <c r="C6" s="27" t="inlineStr">
        <is>
          <t>滨海湾/市中心</t>
        </is>
      </c>
      <c r="D6" s="26" t="inlineStr">
        <is>
          <t>Singapore Flyer</t>
        </is>
      </c>
      <c r="E6" s="26" t="inlineStr">
        <is>
          <t>place:stb_attractions:1031</t>
        </is>
      </c>
      <c r="F6" s="26" t="inlineStr">
        <is>
          <t>tourism</t>
        </is>
      </c>
      <c r="G6" s="27" t="n">
        <v>1.289</v>
      </c>
      <c r="H6" s="27" t="n">
        <v>103.863137</v>
      </c>
      <c r="I6" s="26" t="inlineStr">
        <is>
          <t>Daily, 8.30am - 10.30pm, (last admission: 10.15pm)</t>
        </is>
      </c>
      <c r="J6" s="28" t="inlineStr">
        <is>
          <t>每日 10:00–22:00（含公共假期）</t>
        </is>
      </c>
      <c r="K6" s="29" t="inlineStr">
        <is>
          <t>21:30</t>
        </is>
      </c>
      <c r="L6" s="28" t="inlineStr">
        <is>
          <t>无</t>
        </is>
      </c>
      <c r="M6" s="28" t="inlineStr">
        <is>
          <t>收费</t>
        </is>
      </c>
      <c r="N6" s="29" t="n">
        <v>30</v>
      </c>
      <c r="O6" s="29" t="n">
        <v>45</v>
      </c>
      <c r="P6" s="29" t="n">
        <v>60</v>
      </c>
      <c r="Q6" s="28" t="inlineStr">
        <is>
          <t>估计</t>
        </is>
      </c>
      <c r="R6" s="30" t="n"/>
      <c r="S6" s="30" t="n"/>
      <c r="T6" s="29" t="inlineStr">
        <is>
          <t>https://www.singaporeflyer.com/en/plan-your-visit</t>
        </is>
      </c>
      <c r="U6" s="30" t="n"/>
      <c r="V6" s="31" t="inlineStr">
        <is>
          <t>资料核对（Claude）</t>
        </is>
      </c>
      <c r="W6" s="30" t="inlineStr">
        <is>
          <t>2026-10-22</t>
        </is>
      </c>
      <c r="X6" s="30" t="inlineStr">
        <is>
          <t>Claude（资料整理）</t>
        </is>
      </c>
    </row>
    <row r="7" ht="90.25" customHeight="1" s="17">
      <c r="A7" s="27" t="n">
        <v>6</v>
      </c>
      <c r="B7" s="27" t="inlineStr">
        <is>
          <t>可选</t>
        </is>
      </c>
      <c r="C7" s="27" t="inlineStr">
        <is>
          <t>滨海湾/市中心</t>
        </is>
      </c>
      <c r="D7" s="26" t="inlineStr">
        <is>
          <t>Esplanade Theatres on the Bay</t>
        </is>
      </c>
      <c r="E7" s="26" t="inlineStr">
        <is>
          <t>place:stb_attractions:1046</t>
        </is>
      </c>
      <c r="F7" s="26" t="inlineStr">
        <is>
          <t>tourism</t>
        </is>
      </c>
      <c r="G7" s="27" t="n">
        <v>1.29</v>
      </c>
      <c r="H7" s="27" t="n">
        <v>103.85528</v>
      </c>
      <c r="I7" s="26" t="inlineStr">
        <is>
          <t>Box Office Opening Hours Daily, 12pm – 8.30pm, The Esplanade Box Office will open 1 hour prior to show commencement for shows before 12 noon and will remain open up to half an hour after show commencement for shows starting after 8.30pm.</t>
        </is>
      </c>
      <c r="J7" s="28" t="inlineStr">
        <is>
          <t>建筑 每日 8:00–23:30</t>
        </is>
      </c>
      <c r="K7" s="30" t="n"/>
      <c r="L7" s="28" t="inlineStr">
        <is>
          <t>无</t>
        </is>
      </c>
      <c r="M7" s="28" t="inlineStr">
        <is>
          <t>公共区域免费，演出另购票</t>
        </is>
      </c>
      <c r="N7" s="29" t="n">
        <v>20</v>
      </c>
      <c r="O7" s="29" t="n">
        <v>45</v>
      </c>
      <c r="P7" s="29" t="n">
        <v>90</v>
      </c>
      <c r="Q7" s="28" t="inlineStr">
        <is>
          <t>估计</t>
        </is>
      </c>
      <c r="R7" s="30" t="n"/>
      <c r="S7" s="30" t="n"/>
      <c r="T7" s="29" t="inlineStr">
        <is>
          <t>https://www.esplanade.com/visit</t>
        </is>
      </c>
      <c r="U7" s="28" t="inlineStr">
        <is>
          <t>屋顶和户外剧场为公共空间</t>
        </is>
      </c>
      <c r="V7" s="31" t="inlineStr">
        <is>
          <t>资料核对（Claude）</t>
        </is>
      </c>
      <c r="W7" s="30" t="inlineStr">
        <is>
          <t>2026-10-22</t>
        </is>
      </c>
      <c r="X7" s="30" t="inlineStr">
        <is>
          <t>Claude（资料整理）</t>
        </is>
      </c>
    </row>
    <row r="8" ht="48.5" customHeight="1" s="17">
      <c r="A8" s="27" t="n">
        <v>7</v>
      </c>
      <c r="B8" s="27" t="inlineStr">
        <is>
          <t>可选</t>
        </is>
      </c>
      <c r="C8" s="27" t="inlineStr">
        <is>
          <t>滨海湾/市中心</t>
        </is>
      </c>
      <c r="D8" s="26" t="inlineStr">
        <is>
          <t>Marina Barrage</t>
        </is>
      </c>
      <c r="E8" s="26" t="inlineStr">
        <is>
          <t>place:stb_attractions:1033</t>
        </is>
      </c>
      <c r="F8" s="26" t="inlineStr">
        <is>
          <t>tourism</t>
        </is>
      </c>
      <c r="G8" s="27" t="n">
        <v>1.281</v>
      </c>
      <c r="H8" s="27" t="n">
        <v>103.87159</v>
      </c>
      <c r="I8" s="26" t="inlineStr">
        <is>
          <t>Marina Barrage - All day Information Counter Daily, 9am – 9pm</t>
        </is>
      </c>
      <c r="J8" s="28" t="inlineStr">
        <is>
          <t>全天开放（信息柜台 9:00–21:00）</t>
        </is>
      </c>
      <c r="K8" s="30" t="n"/>
      <c r="L8" s="30" t="n"/>
      <c r="M8" s="28" t="inlineStr">
        <is>
          <t>免费</t>
        </is>
      </c>
      <c r="N8" s="29" t="n">
        <v>30</v>
      </c>
      <c r="O8" s="29" t="n">
        <v>60</v>
      </c>
      <c r="P8" s="29" t="n">
        <v>90</v>
      </c>
      <c r="Q8" s="28" t="inlineStr">
        <is>
          <t>估计</t>
        </is>
      </c>
      <c r="R8" s="30" t="n"/>
      <c r="S8" s="30" t="n"/>
      <c r="T8" s="30" t="n"/>
      <c r="U8" s="28" t="inlineStr">
        <is>
          <t>沿用 STB 旧资料（约 2018 年），官网无法自动读取，未能确认是否仍有效</t>
        </is>
      </c>
      <c r="V8" s="31" t="inlineStr">
        <is>
          <t>资料核对（Claude）</t>
        </is>
      </c>
      <c r="W8" s="30" t="inlineStr">
        <is>
          <t>2026-10-22</t>
        </is>
      </c>
      <c r="X8" s="30" t="inlineStr">
        <is>
          <t>Claude（资料整理）</t>
        </is>
      </c>
    </row>
    <row r="9" ht="48.5" customHeight="1" s="17">
      <c r="A9" s="27" t="n">
        <v>8</v>
      </c>
      <c r="B9" s="27" t="inlineStr">
        <is>
          <t>可选</t>
        </is>
      </c>
      <c r="C9" s="27" t="inlineStr">
        <is>
          <t>滨海湾/市中心</t>
        </is>
      </c>
      <c r="D9" s="26" t="inlineStr">
        <is>
          <t>Lau Pa Sat</t>
        </is>
      </c>
      <c r="E9" s="26" t="inlineStr">
        <is>
          <t>place:stb_attractions:1022</t>
        </is>
      </c>
      <c r="F9" s="26" t="inlineStr">
        <is>
          <t>tourism</t>
        </is>
      </c>
      <c r="G9" s="27" t="n">
        <v>1.281</v>
      </c>
      <c r="H9" s="27" t="n">
        <v>103.85044</v>
      </c>
      <c r="I9" s="26" t="inlineStr">
        <is>
          <t>Daily, 24 hours</t>
        </is>
      </c>
      <c r="J9" s="29" t="inlineStr">
        <is>
          <t>24 小时</t>
        </is>
      </c>
      <c r="K9" s="30" t="n"/>
      <c r="L9" s="28" t="inlineStr">
        <is>
          <t>无（各摊位营业时间不同）</t>
        </is>
      </c>
      <c r="M9" s="28" t="inlineStr">
        <is>
          <t>免费入场</t>
        </is>
      </c>
      <c r="N9" s="29" t="n">
        <v>30</v>
      </c>
      <c r="O9" s="29" t="n">
        <v>45</v>
      </c>
      <c r="P9" s="29" t="n">
        <v>75</v>
      </c>
      <c r="Q9" s="28" t="inlineStr">
        <is>
          <t>估计</t>
        </is>
      </c>
      <c r="R9" s="30" t="n"/>
      <c r="S9" s="29" t="inlineStr">
        <is>
          <t>18 Raffles Quay</t>
        </is>
      </c>
      <c r="T9" s="29" t="inlineStr">
        <is>
          <t>https://www.laupasat.sg/</t>
        </is>
      </c>
      <c r="U9" s="28" t="inlineStr">
        <is>
          <t>沙爹街晚间营业，官网未列具体时间</t>
        </is>
      </c>
      <c r="V9" s="31" t="inlineStr">
        <is>
          <t>资料核对（Claude）</t>
        </is>
      </c>
      <c r="W9" s="30" t="inlineStr">
        <is>
          <t>2026-10-22</t>
        </is>
      </c>
      <c r="X9" s="30" t="inlineStr">
        <is>
          <t>Claude（资料整理）</t>
        </is>
      </c>
    </row>
    <row r="10" ht="64.90000000000001" customHeight="1" s="17">
      <c r="A10" s="27" t="n">
        <v>9</v>
      </c>
      <c r="B10" s="26" t="inlineStr">
        <is>
          <t>★</t>
        </is>
      </c>
      <c r="C10" s="27" t="inlineStr">
        <is>
          <t>市政区/博物馆</t>
        </is>
      </c>
      <c r="D10" s="26" t="inlineStr">
        <is>
          <t>National Gallery Singapore</t>
        </is>
      </c>
      <c r="E10" s="26" t="inlineStr">
        <is>
          <t>place:stb_attractions:1001</t>
        </is>
      </c>
      <c r="F10" s="26" t="inlineStr">
        <is>
          <t>tourism</t>
        </is>
      </c>
      <c r="G10" s="27" t="n">
        <v>1.29</v>
      </c>
      <c r="H10" s="27" t="n">
        <v>103.851356</v>
      </c>
      <c r="I10" s="26" t="inlineStr">
        <is>
          <t>Effective from 24 November 2015, Sunday to Thursday and public holidays,10am - 7pm ,Friday to Saturday and eve of public holidays, 10am - 10pm</t>
        </is>
      </c>
      <c r="J10" s="28" t="inlineStr">
        <is>
          <t>每日 10:00–19:00</t>
        </is>
      </c>
      <c r="K10" s="29" t="inlineStr">
        <is>
          <t>18:30</t>
        </is>
      </c>
      <c r="L10" s="28" t="inlineStr">
        <is>
          <t>无</t>
        </is>
      </c>
      <c r="M10" s="28" t="inlineStr">
        <is>
          <t>收费（展览不同票价不同）</t>
        </is>
      </c>
      <c r="N10" s="29" t="n">
        <v>60</v>
      </c>
      <c r="O10" s="29" t="n">
        <v>120</v>
      </c>
      <c r="P10" s="29" t="n">
        <v>180</v>
      </c>
      <c r="Q10" s="28" t="inlineStr">
        <is>
          <t>估计</t>
        </is>
      </c>
      <c r="R10" s="30" t="n"/>
      <c r="S10" s="30" t="n"/>
      <c r="T10" s="29" t="inlineStr">
        <is>
          <t>https://www.nationalgallery.sg/</t>
        </is>
      </c>
      <c r="U10" s="30" t="n"/>
      <c r="V10" s="31" t="inlineStr">
        <is>
          <t>资料核对（Claude）</t>
        </is>
      </c>
      <c r="W10" s="30" t="inlineStr">
        <is>
          <t>2026-10-22</t>
        </is>
      </c>
      <c r="X10" s="30" t="inlineStr">
        <is>
          <t>Claude（资料整理）</t>
        </is>
      </c>
    </row>
    <row r="11" ht="77.59999999999999" customHeight="1" s="17">
      <c r="A11" s="27" t="n">
        <v>10</v>
      </c>
      <c r="B11" s="26" t="inlineStr">
        <is>
          <t>★</t>
        </is>
      </c>
      <c r="C11" s="27" t="inlineStr">
        <is>
          <t>市政区/博物馆</t>
        </is>
      </c>
      <c r="D11" s="26" t="inlineStr">
        <is>
          <t>National Museum of Singapore</t>
        </is>
      </c>
      <c r="E11" s="26" t="inlineStr">
        <is>
          <t>place:stb_attractions:1052</t>
        </is>
      </c>
      <c r="F11" s="26" t="inlineStr">
        <is>
          <t>tourism</t>
        </is>
      </c>
      <c r="G11" s="27" t="n">
        <v>1.297</v>
      </c>
      <c r="H11" s="27" t="n">
        <v>103.84883</v>
      </c>
      <c r="I11" s="26" t="inlineStr">
        <is>
          <t>Singapore History Gallery Daily, 10am – 6pm,Last admission at 5.30pm.Singapore Living Galleries Daily, 10am – 8pm Free admission from 6pm –8pm , Last admission at 7.30pm</t>
        </is>
      </c>
      <c r="J11" s="28" t="inlineStr">
        <is>
          <t>每日 10:00–18:00（新加坡历史馆）</t>
        </is>
      </c>
      <c r="K11" s="30" t="n"/>
      <c r="L11" s="30" t="n"/>
      <c r="M11" s="28" t="inlineStr">
        <is>
          <t>收费（公民/PR 优惠）</t>
        </is>
      </c>
      <c r="N11" s="29" t="n">
        <v>60</v>
      </c>
      <c r="O11" s="29" t="n">
        <v>120</v>
      </c>
      <c r="P11" s="29" t="n">
        <v>180</v>
      </c>
      <c r="Q11" s="28" t="inlineStr">
        <is>
          <t>估计</t>
        </is>
      </c>
      <c r="R11" s="30" t="n"/>
      <c r="S11" s="30" t="n"/>
      <c r="T11" s="30" t="n"/>
      <c r="U11" s="28" t="inlineStr">
        <is>
          <t>沿用 STB 旧资料（约 2018 年），官网无法自动读取，未能确认是否仍有效；STB 旧资料写最后入场 17:30</t>
        </is>
      </c>
      <c r="V11" s="31" t="inlineStr">
        <is>
          <t>资料核对（Claude）</t>
        </is>
      </c>
      <c r="W11" s="30" t="inlineStr">
        <is>
          <t>2026-10-22</t>
        </is>
      </c>
      <c r="X11" s="30" t="inlineStr">
        <is>
          <t>Claude（资料整理）</t>
        </is>
      </c>
    </row>
    <row r="12" ht="48.5" customHeight="1" s="17">
      <c r="A12" s="27" t="n">
        <v>11</v>
      </c>
      <c r="B12" s="26" t="inlineStr">
        <is>
          <t>★</t>
        </is>
      </c>
      <c r="C12" s="27" t="inlineStr">
        <is>
          <t>市政区/博物馆</t>
        </is>
      </c>
      <c r="D12" s="26" t="inlineStr">
        <is>
          <t>Asian Civilisations Museum</t>
        </is>
      </c>
      <c r="E12" s="26" t="inlineStr">
        <is>
          <t>place:stb_attractions:1051</t>
        </is>
      </c>
      <c r="F12" s="26" t="inlineStr">
        <is>
          <t>tourism</t>
        </is>
      </c>
      <c r="G12" s="27" t="n">
        <v>1.287</v>
      </c>
      <c r="H12" s="27" t="n">
        <v>103.851723</v>
      </c>
      <c r="I12" s="26" t="inlineStr">
        <is>
          <t>Saturday to Thursday, 10am – 7pm, Friday, 10am – 9pm</t>
        </is>
      </c>
      <c r="J12" s="28" t="inlineStr">
        <is>
          <t>每日 10:00–19:00；周五至 21:00</t>
        </is>
      </c>
      <c r="K12" s="28" t="inlineStr">
        <is>
          <t>闭馆前 30 分钟</t>
        </is>
      </c>
      <c r="L12" s="28" t="inlineStr">
        <is>
          <t>官网未列</t>
        </is>
      </c>
      <c r="M12" s="28" t="inlineStr">
        <is>
          <t>收费（新加坡公民/PR 常设展免费）</t>
        </is>
      </c>
      <c r="N12" s="29" t="n">
        <v>60</v>
      </c>
      <c r="O12" s="29" t="n">
        <v>120</v>
      </c>
      <c r="P12" s="29" t="n">
        <v>180</v>
      </c>
      <c r="Q12" s="28" t="inlineStr">
        <is>
          <t>估计</t>
        </is>
      </c>
      <c r="R12" s="30" t="n"/>
      <c r="S12" s="29" t="inlineStr">
        <is>
          <t>Front Entrance；River Entrance（两处都有坡道）</t>
        </is>
      </c>
      <c r="T12" s="29" t="inlineStr">
        <is>
          <t>https://www.nhb.gov.sg/acm/visit/plan-your-visit</t>
        </is>
      </c>
      <c r="U12" s="30" t="n"/>
      <c r="V12" s="31" t="inlineStr">
        <is>
          <t>资料核对（Claude）</t>
        </is>
      </c>
      <c r="W12" s="30" t="inlineStr">
        <is>
          <t>2026-10-22</t>
        </is>
      </c>
      <c r="X12" s="30" t="inlineStr">
        <is>
          <t>Claude（资料整理）</t>
        </is>
      </c>
    </row>
    <row r="13" ht="48.5" customHeight="1" s="17">
      <c r="A13" s="27" t="n">
        <v>12</v>
      </c>
      <c r="B13" s="26" t="inlineStr">
        <is>
          <t>★</t>
        </is>
      </c>
      <c r="C13" s="27" t="inlineStr">
        <is>
          <t>市政区/博物馆</t>
        </is>
      </c>
      <c r="D13" s="26" t="inlineStr">
        <is>
          <t>Fort Canning Park</t>
        </is>
      </c>
      <c r="E13" s="26" t="inlineStr">
        <is>
          <t>place:nparks_parks:120073</t>
        </is>
      </c>
      <c r="F13" s="26" t="inlineStr">
        <is>
          <t>nature</t>
        </is>
      </c>
      <c r="G13" s="27" t="n">
        <v>1.295891</v>
      </c>
      <c r="H13" s="27" t="n">
        <v>103.846609</v>
      </c>
      <c r="I13" s="27" t="n"/>
      <c r="J13" s="29" t="inlineStr">
        <is>
          <t>24 小时（一般园区）</t>
        </is>
      </c>
      <c r="K13" s="30" t="n"/>
      <c r="L13" s="28" t="inlineStr">
        <is>
          <t>无</t>
        </is>
      </c>
      <c r="M13" s="28" t="inlineStr">
        <is>
          <t>免费</t>
        </is>
      </c>
      <c r="N13" s="29" t="n">
        <v>45</v>
      </c>
      <c r="O13" s="29" t="n">
        <v>90</v>
      </c>
      <c r="P13" s="29" t="n">
        <v>150</v>
      </c>
      <c r="Q13" s="28" t="inlineStr">
        <is>
          <t>估计</t>
        </is>
      </c>
      <c r="R13" s="30" t="n"/>
      <c r="S13" s="30" t="n"/>
      <c r="T13" s="29" t="inlineStr">
        <is>
          <t>https://www.nparks.gov.sg/visit/parks/park-detail/fort-canning-park</t>
        </is>
      </c>
      <c r="U13" s="28" t="inlineStr">
        <is>
          <t>开放时间已于 2026-09-14 核验，不适用于园内展馆</t>
        </is>
      </c>
      <c r="V13" s="31" t="inlineStr">
        <is>
          <t>资料核对（Claude）</t>
        </is>
      </c>
      <c r="W13" s="30" t="inlineStr">
        <is>
          <t>2026-10-22</t>
        </is>
      </c>
      <c r="X13" s="30" t="inlineStr">
        <is>
          <t>Claude（资料整理）</t>
        </is>
      </c>
    </row>
    <row r="14" ht="48.5" customHeight="1" s="17">
      <c r="A14" s="27" t="n">
        <v>13</v>
      </c>
      <c r="B14" s="27" t="inlineStr">
        <is>
          <t>可选</t>
        </is>
      </c>
      <c r="C14" s="27" t="inlineStr">
        <is>
          <t>市政区/博物馆</t>
        </is>
      </c>
      <c r="D14" s="26" t="inlineStr">
        <is>
          <t>Peranakan Museum</t>
        </is>
      </c>
      <c r="E14" s="26" t="inlineStr">
        <is>
          <t>place:stb_attractions:1024</t>
        </is>
      </c>
      <c r="F14" s="26" t="inlineStr">
        <is>
          <t>tourism</t>
        </is>
      </c>
      <c r="G14" s="27" t="n">
        <v>1.294</v>
      </c>
      <c r="H14" s="27" t="n">
        <v>103.8492</v>
      </c>
      <c r="I14" s="26" t="inlineStr">
        <is>
          <t>Saturday to Thursday, 10am – 7pm, Friday, 10am – 9pm</t>
        </is>
      </c>
      <c r="J14" s="28" t="inlineStr">
        <is>
          <t>每日 10:00–19:00；周五至 21:00</t>
        </is>
      </c>
      <c r="K14" s="28" t="inlineStr">
        <is>
          <t>闭馆前 30 分钟</t>
        </is>
      </c>
      <c r="L14" s="28" t="inlineStr">
        <is>
          <t>官网未列</t>
        </is>
      </c>
      <c r="M14" s="28" t="inlineStr">
        <is>
          <t>游客成人 S$18；公民/PR 常设展免费</t>
        </is>
      </c>
      <c r="N14" s="29" t="n">
        <v>45</v>
      </c>
      <c r="O14" s="29" t="n">
        <v>75</v>
      </c>
      <c r="P14" s="29" t="n">
        <v>120</v>
      </c>
      <c r="Q14" s="28" t="inlineStr">
        <is>
          <t>估计</t>
        </is>
      </c>
      <c r="R14" s="30" t="n"/>
      <c r="S14" s="30" t="n"/>
      <c r="T14" s="29" t="inlineStr">
        <is>
          <t>https://www.nhb.gov.sg/peranakanmuseum/visit/plan-your-visit</t>
        </is>
      </c>
      <c r="U14" s="30" t="n"/>
      <c r="V14" s="31" t="inlineStr">
        <is>
          <t>资料核对（Claude）</t>
        </is>
      </c>
      <c r="W14" s="30" t="inlineStr">
        <is>
          <t>2026-10-22</t>
        </is>
      </c>
      <c r="X14" s="30" t="inlineStr">
        <is>
          <t>Claude（资料整理）</t>
        </is>
      </c>
    </row>
    <row r="15" ht="48.5" customHeight="1" s="17">
      <c r="A15" s="27" t="n">
        <v>14</v>
      </c>
      <c r="B15" s="27" t="inlineStr">
        <is>
          <t>可选</t>
        </is>
      </c>
      <c r="C15" s="27" t="inlineStr">
        <is>
          <t>市政区/博物馆</t>
        </is>
      </c>
      <c r="D15" s="26" t="inlineStr">
        <is>
          <t>CHIJMES</t>
        </is>
      </c>
      <c r="E15" s="26" t="inlineStr">
        <is>
          <t>place:stb_attractions:1005</t>
        </is>
      </c>
      <c r="F15" s="26" t="inlineStr">
        <is>
          <t>tourism</t>
        </is>
      </c>
      <c r="G15" s="27" t="n">
        <v>1.295</v>
      </c>
      <c r="H15" s="27" t="n">
        <v>103.85168</v>
      </c>
      <c r="I15" s="26" t="inlineStr">
        <is>
          <t>Daily, 24 hours,Opening hours of businesses in CHIJMES may vary.</t>
        </is>
      </c>
      <c r="J15" s="28" t="inlineStr">
        <is>
          <t>全天开放（商户营业时间各异）</t>
        </is>
      </c>
      <c r="K15" s="30" t="n"/>
      <c r="L15" s="30" t="n"/>
      <c r="M15" s="28" t="inlineStr">
        <is>
          <t>免费入场（餐厅消费另计）</t>
        </is>
      </c>
      <c r="N15" s="29" t="n">
        <v>20</v>
      </c>
      <c r="O15" s="29" t="n">
        <v>45</v>
      </c>
      <c r="P15" s="29" t="n">
        <v>90</v>
      </c>
      <c r="Q15" s="28" t="inlineStr">
        <is>
          <t>估计</t>
        </is>
      </c>
      <c r="R15" s="30" t="n"/>
      <c r="S15" s="29" t="inlineStr">
        <is>
          <t>30 Victoria Street</t>
        </is>
      </c>
      <c r="T15" s="29" t="inlineStr">
        <is>
          <t>https://www.chijmes.com.sg/</t>
        </is>
      </c>
      <c r="U15" s="29" t="inlineStr">
        <is>
          <t>STB 旧资料写 24 小时；餐饮建筑群，公共区域开放；官网未列统一开放时间</t>
        </is>
      </c>
      <c r="V15" s="31" t="inlineStr">
        <is>
          <t>资料核对（Claude）</t>
        </is>
      </c>
      <c r="W15" s="30" t="inlineStr">
        <is>
          <t>2026-10-22</t>
        </is>
      </c>
      <c r="X15" s="30" t="inlineStr">
        <is>
          <t>Claude（资料整理）</t>
        </is>
      </c>
    </row>
    <row r="16" ht="48.5" customHeight="1" s="17">
      <c r="A16" s="27" t="n">
        <v>15</v>
      </c>
      <c r="B16" s="27" t="inlineStr">
        <is>
          <t>可选</t>
        </is>
      </c>
      <c r="C16" s="27" t="inlineStr">
        <is>
          <t>市政区/博物馆</t>
        </is>
      </c>
      <c r="D16" s="26" t="inlineStr">
        <is>
          <t>Raffles Singapore</t>
        </is>
      </c>
      <c r="E16" s="26" t="inlineStr">
        <is>
          <t>place:stb_attractions:1025</t>
        </is>
      </c>
      <c r="F16" s="26" t="inlineStr">
        <is>
          <t>tourism</t>
        </is>
      </c>
      <c r="G16" s="27" t="n">
        <v>1.296</v>
      </c>
      <c r="H16" s="27" t="n">
        <v>103.85404</v>
      </c>
      <c r="I16" s="26" t="inlineStr">
        <is>
          <t>Daily, 24 hours</t>
        </is>
      </c>
      <c r="J16" s="28" t="inlineStr">
        <is>
          <t>全天开放</t>
        </is>
      </c>
      <c r="K16" s="30" t="n"/>
      <c r="L16" s="28" t="inlineStr">
        <is>
          <t>无</t>
        </is>
      </c>
      <c r="M16" s="28" t="inlineStr">
        <is>
          <t>免费</t>
        </is>
      </c>
      <c r="N16" s="29" t="n">
        <v>10</v>
      </c>
      <c r="O16" s="29" t="n">
        <v>15</v>
      </c>
      <c r="P16" s="29" t="n">
        <v>30</v>
      </c>
      <c r="Q16" s="28" t="inlineStr">
        <is>
          <t>估计</t>
        </is>
      </c>
      <c r="R16" s="30" t="n"/>
      <c r="S16" s="30" t="n"/>
      <c r="T16" s="30" t="n"/>
      <c r="U16" s="28" t="inlineStr">
        <is>
          <t>无门票的公共区域，按一般情况填写为全天开放，未见官方页面；只看外观；酒店内部仅住客及餐厅客人</t>
        </is>
      </c>
      <c r="V16" s="31" t="inlineStr">
        <is>
          <t>资料核对（Claude）</t>
        </is>
      </c>
      <c r="W16" s="30" t="inlineStr">
        <is>
          <t>2026-10-22</t>
        </is>
      </c>
      <c r="X16" s="30" t="inlineStr">
        <is>
          <t>Claude（资料整理）</t>
        </is>
      </c>
    </row>
    <row r="17" ht="48.5" customHeight="1" s="17">
      <c r="A17" s="27" t="n">
        <v>16</v>
      </c>
      <c r="B17" s="27" t="inlineStr">
        <is>
          <t>可选</t>
        </is>
      </c>
      <c r="C17" s="27" t="inlineStr">
        <is>
          <t>市政区/博物馆</t>
        </is>
      </c>
      <c r="D17" s="26" t="inlineStr">
        <is>
          <t>Singapore River（克拉码头一带）</t>
        </is>
      </c>
      <c r="E17" s="26" t="inlineStr">
        <is>
          <t>place:stb_attractions:973</t>
        </is>
      </c>
      <c r="F17" s="26" t="inlineStr">
        <is>
          <t>tourism</t>
        </is>
      </c>
      <c r="G17" s="27" t="n">
        <v>1.288</v>
      </c>
      <c r="H17" s="27" t="n">
        <v>103.84676</v>
      </c>
      <c r="I17" s="27" t="n"/>
      <c r="J17" s="28" t="inlineStr">
        <is>
          <t>全天开放</t>
        </is>
      </c>
      <c r="K17" s="30" t="n"/>
      <c r="L17" s="28" t="inlineStr">
        <is>
          <t>无</t>
        </is>
      </c>
      <c r="M17" s="28" t="inlineStr">
        <is>
          <t>免费</t>
        </is>
      </c>
      <c r="N17" s="29" t="n">
        <v>30</v>
      </c>
      <c r="O17" s="29" t="n">
        <v>60</v>
      </c>
      <c r="P17" s="29" t="n">
        <v>120</v>
      </c>
      <c r="Q17" s="28" t="inlineStr">
        <is>
          <t>估计</t>
        </is>
      </c>
      <c r="R17" s="30" t="n"/>
      <c r="S17" s="30" t="n"/>
      <c r="T17" s="30" t="n"/>
      <c r="U17" s="28" t="inlineStr">
        <is>
          <t>无门票的公共区域，按一般情况填写为全天开放，未见官方页面；沿河步道及克拉码头一带；商户各自营业</t>
        </is>
      </c>
      <c r="V17" s="31" t="inlineStr">
        <is>
          <t>资料核对（Claude）</t>
        </is>
      </c>
      <c r="W17" s="30" t="inlineStr">
        <is>
          <t>2026-10-22</t>
        </is>
      </c>
      <c r="X17" s="30" t="inlineStr">
        <is>
          <t>Claude（资料整理）</t>
        </is>
      </c>
    </row>
    <row r="18" ht="48.5" customHeight="1" s="17">
      <c r="A18" s="27" t="n">
        <v>17</v>
      </c>
      <c r="B18" s="26" t="inlineStr">
        <is>
          <t>★</t>
        </is>
      </c>
      <c r="C18" s="27" t="inlineStr">
        <is>
          <t>文化街区</t>
        </is>
      </c>
      <c r="D18" s="26" t="inlineStr">
        <is>
          <t>Chinatown（牛车水）</t>
        </is>
      </c>
      <c r="E18" s="26" t="inlineStr">
        <is>
          <t>place:stb_attractions:976</t>
        </is>
      </c>
      <c r="F18" s="26" t="inlineStr">
        <is>
          <t>tourism</t>
        </is>
      </c>
      <c r="G18" s="27" t="n">
        <v>1.282</v>
      </c>
      <c r="H18" s="27" t="n">
        <v>103.843771</v>
      </c>
      <c r="I18" s="27" t="n"/>
      <c r="J18" s="28" t="inlineStr">
        <is>
          <t>全天开放</t>
        </is>
      </c>
      <c r="K18" s="30" t="n"/>
      <c r="L18" s="28" t="inlineStr">
        <is>
          <t>无</t>
        </is>
      </c>
      <c r="M18" s="28" t="inlineStr">
        <is>
          <t>免费</t>
        </is>
      </c>
      <c r="N18" s="29" t="n">
        <v>60</v>
      </c>
      <c r="O18" s="29" t="n">
        <v>120</v>
      </c>
      <c r="P18" s="29" t="n">
        <v>180</v>
      </c>
      <c r="Q18" s="28" t="inlineStr">
        <is>
          <t>估计</t>
        </is>
      </c>
      <c r="R18" s="30" t="n"/>
      <c r="S18" s="30" t="n"/>
      <c r="T18" s="30" t="n"/>
      <c r="U18" s="28" t="inlineStr">
        <is>
          <t>无门票的公共区域，按一般情况填写为全天开放，未见官方页面；街区，商铺和寺庙各有营业时间</t>
        </is>
      </c>
      <c r="V18" s="31" t="inlineStr">
        <is>
          <t>资料核对（Claude）</t>
        </is>
      </c>
      <c r="W18" s="30" t="inlineStr">
        <is>
          <t>2026-10-22</t>
        </is>
      </c>
      <c r="X18" s="30" t="inlineStr">
        <is>
          <t>Claude（资料整理）</t>
        </is>
      </c>
    </row>
    <row r="19" ht="48.5" customHeight="1" s="17">
      <c r="A19" s="27" t="n">
        <v>18</v>
      </c>
      <c r="B19" s="26" t="inlineStr">
        <is>
          <t>★</t>
        </is>
      </c>
      <c r="C19" s="27" t="inlineStr">
        <is>
          <t>文化街区</t>
        </is>
      </c>
      <c r="D19" s="26" t="inlineStr">
        <is>
          <t>Buddha Tooth Relic Temple</t>
        </is>
      </c>
      <c r="E19" s="26" t="inlineStr">
        <is>
          <t>place:stb_attractions:977</t>
        </is>
      </c>
      <c r="F19" s="26" t="inlineStr">
        <is>
          <t>tourism</t>
        </is>
      </c>
      <c r="G19" s="27" t="n">
        <v>1.282</v>
      </c>
      <c r="H19" s="27" t="n">
        <v>103.84438</v>
      </c>
      <c r="I19" s="26" t="inlineStr">
        <is>
          <t>Daily, 7am – 7pm</t>
        </is>
      </c>
      <c r="J19" s="28" t="inlineStr">
        <is>
          <t>每日 7:00–19:00</t>
        </is>
      </c>
      <c r="K19" s="30" t="n"/>
      <c r="L19" s="30" t="n"/>
      <c r="M19" s="28" t="inlineStr">
        <is>
          <t>免费</t>
        </is>
      </c>
      <c r="N19" s="29" t="n">
        <v>30</v>
      </c>
      <c r="O19" s="29" t="n">
        <v>45</v>
      </c>
      <c r="P19" s="29" t="n">
        <v>90</v>
      </c>
      <c r="Q19" s="28" t="inlineStr">
        <is>
          <t>估计</t>
        </is>
      </c>
      <c r="R19" s="30" t="n"/>
      <c r="S19" s="29" t="inlineStr">
        <is>
          <t>288 South Bridge Road 正门</t>
        </is>
      </c>
      <c r="T19" s="29" t="inlineStr">
        <is>
          <t>https://www.buddhatoothrelictemple.org.sg/</t>
        </is>
      </c>
      <c r="U19" s="28" t="inlineStr">
        <is>
          <t>沿用 STB 旧资料（约 2018 年），官网无法自动读取，未能确认是否仍有效；官网首页未列开放时间</t>
        </is>
      </c>
      <c r="V19" s="31" t="inlineStr">
        <is>
          <t>资料核对（Claude）</t>
        </is>
      </c>
      <c r="W19" s="30" t="inlineStr">
        <is>
          <t>2026-10-22</t>
        </is>
      </c>
      <c r="X19" s="30" t="inlineStr">
        <is>
          <t>Claude（资料整理）</t>
        </is>
      </c>
    </row>
    <row r="20" ht="48.5" customHeight="1" s="17">
      <c r="A20" s="27" t="n">
        <v>19</v>
      </c>
      <c r="B20" s="26" t="inlineStr">
        <is>
          <t>★</t>
        </is>
      </c>
      <c r="C20" s="27" t="inlineStr">
        <is>
          <t>文化街区</t>
        </is>
      </c>
      <c r="D20" s="26" t="inlineStr">
        <is>
          <t>Sri Mariamman Temple</t>
        </is>
      </c>
      <c r="E20" s="26" t="inlineStr">
        <is>
          <t>place:stb_attractions:1003</t>
        </is>
      </c>
      <c r="F20" s="26" t="inlineStr">
        <is>
          <t>tourism</t>
        </is>
      </c>
      <c r="G20" s="27" t="n">
        <v>1.282</v>
      </c>
      <c r="H20" s="27" t="n">
        <v>103.84538</v>
      </c>
      <c r="I20" s="26" t="inlineStr">
        <is>
          <t>Daily from 7am – 12pm, and 6pm – 9pm</t>
        </is>
      </c>
      <c r="J20" s="28" t="inlineStr">
        <is>
          <t>每日 6:00–12:00、18:00–21:00（周五晚至 21:15）</t>
        </is>
      </c>
      <c r="K20" s="30" t="n"/>
      <c r="L20" s="28" t="inlineStr">
        <is>
          <t>无</t>
        </is>
      </c>
      <c r="M20" s="28" t="inlineStr">
        <is>
          <t>免费</t>
        </is>
      </c>
      <c r="N20" s="29" t="n">
        <v>15</v>
      </c>
      <c r="O20" s="29" t="n">
        <v>30</v>
      </c>
      <c r="P20" s="29" t="n">
        <v>45</v>
      </c>
      <c r="Q20" s="28" t="inlineStr">
        <is>
          <t>估计</t>
        </is>
      </c>
      <c r="R20" s="30" t="n"/>
      <c r="S20" s="30" t="n"/>
      <c r="T20" s="29" t="inlineStr">
        <is>
          <t>https://smt.org.sg/</t>
        </is>
      </c>
      <c r="U20" s="28" t="inlineStr">
        <is>
          <t>宗教场所，注意礼仪；中午至傍晚不开放</t>
        </is>
      </c>
      <c r="V20" s="31" t="inlineStr">
        <is>
          <t>资料核对（Claude）</t>
        </is>
      </c>
      <c r="W20" s="30" t="inlineStr">
        <is>
          <t>2026-10-22</t>
        </is>
      </c>
      <c r="X20" s="30" t="inlineStr">
        <is>
          <t>Claude（资料整理）</t>
        </is>
      </c>
    </row>
    <row r="21" ht="48.5" customHeight="1" s="17">
      <c r="A21" s="27" t="n">
        <v>20</v>
      </c>
      <c r="B21" s="26" t="inlineStr">
        <is>
          <t>★</t>
        </is>
      </c>
      <c r="C21" s="27" t="inlineStr">
        <is>
          <t>文化街区</t>
        </is>
      </c>
      <c r="D21" s="26" t="inlineStr">
        <is>
          <t>Little India（小印度）</t>
        </is>
      </c>
      <c r="E21" s="26" t="inlineStr">
        <is>
          <t>place:stb_attractions:994</t>
        </is>
      </c>
      <c r="F21" s="26" t="inlineStr">
        <is>
          <t>tourism</t>
        </is>
      </c>
      <c r="G21" s="27" t="n">
        <v>1.307</v>
      </c>
      <c r="H21" s="27" t="n">
        <v>103.84982</v>
      </c>
      <c r="I21" s="27" t="n"/>
      <c r="J21" s="28" t="inlineStr">
        <is>
          <t>全天开放</t>
        </is>
      </c>
      <c r="K21" s="30" t="n"/>
      <c r="L21" s="28" t="inlineStr">
        <is>
          <t>无</t>
        </is>
      </c>
      <c r="M21" s="28" t="inlineStr">
        <is>
          <t>免费</t>
        </is>
      </c>
      <c r="N21" s="29" t="n">
        <v>60</v>
      </c>
      <c r="O21" s="29" t="n">
        <v>90</v>
      </c>
      <c r="P21" s="29" t="n">
        <v>150</v>
      </c>
      <c r="Q21" s="28" t="inlineStr">
        <is>
          <t>估计</t>
        </is>
      </c>
      <c r="R21" s="30" t="n"/>
      <c r="S21" s="30" t="n"/>
      <c r="T21" s="30" t="n"/>
      <c r="U21" s="28" t="inlineStr">
        <is>
          <t>无门票的公共区域，按一般情况填写为全天开放，未见官方页面；街区，商铺各有营业时间</t>
        </is>
      </c>
      <c r="V21" s="31" t="inlineStr">
        <is>
          <t>资料核对（Claude）</t>
        </is>
      </c>
      <c r="W21" s="30" t="inlineStr">
        <is>
          <t>2026-10-22</t>
        </is>
      </c>
      <c r="X21" s="30" t="inlineStr">
        <is>
          <t>Claude（资料整理）</t>
        </is>
      </c>
    </row>
    <row r="22" ht="48.5" customHeight="1" s="17">
      <c r="A22" s="27" t="n">
        <v>21</v>
      </c>
      <c r="B22" s="26" t="inlineStr">
        <is>
          <t>★</t>
        </is>
      </c>
      <c r="C22" s="27" t="inlineStr">
        <is>
          <t>文化街区</t>
        </is>
      </c>
      <c r="D22" s="26" t="inlineStr">
        <is>
          <t>Sultan Mosque（甘榜格南）</t>
        </is>
      </c>
      <c r="E22" s="26" t="inlineStr">
        <is>
          <t>place:stb_attractions:1002</t>
        </is>
      </c>
      <c r="F22" s="26" t="inlineStr">
        <is>
          <t>tourism</t>
        </is>
      </c>
      <c r="G22" s="27" t="n">
        <v>1.302</v>
      </c>
      <c r="H22" s="27" t="n">
        <v>103.859171</v>
      </c>
      <c r="I22" s="26" t="inlineStr">
        <is>
          <t>Monday to Sunday:9.30am – 12pm and 2pm – 4pm ,Friday:2.30pm – 4pm</t>
        </is>
      </c>
      <c r="J22" s="28" t="inlineStr">
        <is>
          <t>游客参观 周六至周四 10:00–12:00、14:00–16:00</t>
        </is>
      </c>
      <c r="K22" s="30" t="n"/>
      <c r="L22" s="28" t="inlineStr">
        <is>
          <t>周五</t>
        </is>
      </c>
      <c r="M22" s="28" t="inlineStr">
        <is>
          <t>免费</t>
        </is>
      </c>
      <c r="N22" s="29" t="n">
        <v>15</v>
      </c>
      <c r="O22" s="29" t="n">
        <v>30</v>
      </c>
      <c r="P22" s="29" t="n">
        <v>45</v>
      </c>
      <c r="Q22" s="28" t="inlineStr">
        <is>
          <t>估计</t>
        </is>
      </c>
      <c r="R22" s="30" t="n"/>
      <c r="S22" s="30" t="n"/>
      <c r="T22" s="29" t="inlineStr">
        <is>
          <t>https://www.sultanmosque.sg/visitors-info/</t>
        </is>
      </c>
      <c r="U22" s="28" t="inlineStr">
        <is>
          <t>须穿长袖、长裤/长裙，现场可借长袍；入场人数有限</t>
        </is>
      </c>
      <c r="V22" s="31" t="inlineStr">
        <is>
          <t>资料核对（Claude）</t>
        </is>
      </c>
      <c r="W22" s="30" t="inlineStr">
        <is>
          <t>2026-10-22</t>
        </is>
      </c>
      <c r="X22" s="30" t="inlineStr">
        <is>
          <t>Claude（资料整理）</t>
        </is>
      </c>
    </row>
    <row r="23" ht="48.5" customHeight="1" s="17">
      <c r="A23" s="27" t="n">
        <v>22</v>
      </c>
      <c r="B23" s="27" t="inlineStr">
        <is>
          <t>可选</t>
        </is>
      </c>
      <c r="C23" s="27" t="inlineStr">
        <is>
          <t>文化街区</t>
        </is>
      </c>
      <c r="D23" s="26" t="inlineStr">
        <is>
          <t>Thian Hock Keng Temple</t>
        </is>
      </c>
      <c r="E23" s="26" t="inlineStr">
        <is>
          <t>place:stb_attractions:1011</t>
        </is>
      </c>
      <c r="F23" s="26" t="inlineStr">
        <is>
          <t>tourism</t>
        </is>
      </c>
      <c r="G23" s="27" t="n">
        <v>1.281</v>
      </c>
      <c r="H23" s="27" t="n">
        <v>103.84763</v>
      </c>
      <c r="I23" s="26" t="inlineStr">
        <is>
          <t>Daily, 7.30am – 5.30pm</t>
        </is>
      </c>
      <c r="J23" s="28" t="inlineStr">
        <is>
          <t>每日 7:30–17:30</t>
        </is>
      </c>
      <c r="K23" s="30" t="n"/>
      <c r="L23" s="30" t="n"/>
      <c r="M23" s="28" t="inlineStr">
        <is>
          <t>免费</t>
        </is>
      </c>
      <c r="N23" s="29" t="n">
        <v>15</v>
      </c>
      <c r="O23" s="29" t="n">
        <v>30</v>
      </c>
      <c r="P23" s="29" t="n">
        <v>45</v>
      </c>
      <c r="Q23" s="28" t="inlineStr">
        <is>
          <t>估计</t>
        </is>
      </c>
      <c r="R23" s="30" t="n"/>
      <c r="S23" s="30" t="n"/>
      <c r="T23" s="30" t="n"/>
      <c r="U23" s="28" t="inlineStr">
        <is>
          <t>沿用 STB 旧资料（约 2018 年），官网无法自动读取，未能确认是否仍有效</t>
        </is>
      </c>
      <c r="V23" s="31" t="inlineStr">
        <is>
          <t>资料核对（Claude）</t>
        </is>
      </c>
      <c r="W23" s="30" t="inlineStr">
        <is>
          <t>2026-10-22</t>
        </is>
      </c>
      <c r="X23" s="30" t="inlineStr">
        <is>
          <t>Claude（资料整理）</t>
        </is>
      </c>
    </row>
    <row r="24" ht="48.5" customHeight="1" s="17">
      <c r="A24" s="27" t="n">
        <v>23</v>
      </c>
      <c r="B24" s="27" t="inlineStr">
        <is>
          <t>可选</t>
        </is>
      </c>
      <c r="C24" s="27" t="inlineStr">
        <is>
          <t>文化街区</t>
        </is>
      </c>
      <c r="D24" s="26" t="inlineStr">
        <is>
          <t>Sri Veeramakaliamman Temple</t>
        </is>
      </c>
      <c r="E24" s="26" t="inlineStr">
        <is>
          <t>place:stb_attractions:1068</t>
        </is>
      </c>
      <c r="F24" s="26" t="inlineStr">
        <is>
          <t>tourism</t>
        </is>
      </c>
      <c r="G24" s="27" t="n">
        <v>1.308</v>
      </c>
      <c r="H24" s="27" t="n">
        <v>103.85258</v>
      </c>
      <c r="I24" s="26" t="inlineStr">
        <is>
          <t>Daily, 5.30am – 9.30pm</t>
        </is>
      </c>
      <c r="J24" s="28" t="inlineStr">
        <is>
          <t>每日 5:30–21:30</t>
        </is>
      </c>
      <c r="K24" s="30" t="n"/>
      <c r="L24" s="30" t="n"/>
      <c r="M24" s="28" t="inlineStr">
        <is>
          <t>免费</t>
        </is>
      </c>
      <c r="N24" s="29" t="n">
        <v>15</v>
      </c>
      <c r="O24" s="29" t="n">
        <v>30</v>
      </c>
      <c r="P24" s="29" t="n">
        <v>45</v>
      </c>
      <c r="Q24" s="28" t="inlineStr">
        <is>
          <t>估计</t>
        </is>
      </c>
      <c r="R24" s="30" t="n"/>
      <c r="S24" s="30" t="n"/>
      <c r="T24" s="30" t="n"/>
      <c r="U24" s="28" t="inlineStr">
        <is>
          <t>沿用 STB 旧资料（约 2018 年），官网无法自动读取，未能确认是否仍有效</t>
        </is>
      </c>
      <c r="V24" s="31" t="inlineStr">
        <is>
          <t>资料核对（Claude）</t>
        </is>
      </c>
      <c r="W24" s="30" t="inlineStr">
        <is>
          <t>2026-10-22</t>
        </is>
      </c>
      <c r="X24" s="30" t="inlineStr">
        <is>
          <t>Claude（资料整理）</t>
        </is>
      </c>
    </row>
    <row r="25" ht="90.25" customHeight="1" s="17">
      <c r="A25" s="27" t="n">
        <v>24</v>
      </c>
      <c r="B25" s="27" t="inlineStr">
        <is>
          <t>可选</t>
        </is>
      </c>
      <c r="C25" s="27" t="inlineStr">
        <is>
          <t>文化街区</t>
        </is>
      </c>
      <c r="D25" s="26" t="inlineStr">
        <is>
          <t>Malay Heritage Centre</t>
        </is>
      </c>
      <c r="E25" s="26" t="inlineStr">
        <is>
          <t>place:stb_attractions:1023</t>
        </is>
      </c>
      <c r="F25" s="26" t="inlineStr">
        <is>
          <t>tourism</t>
        </is>
      </c>
      <c r="G25" s="27" t="n">
        <v>1.303</v>
      </c>
      <c r="H25" s="27" t="n">
        <v>103.85986</v>
      </c>
      <c r="I25" s="26" t="inlineStr">
        <is>
          <t>Malay Heritage Centre Museum, Tuesday to Sunday, 10am – 6pm, Closed on Monday, Malay Heritage Centre Compound, Tuesday to Sunday, 8am – 8pm, Friday and Saturday, 8am – 10pm, Closed on Monday</t>
        </is>
      </c>
      <c r="J25" s="28" t="inlineStr">
        <is>
          <t>周二至周日 10:00–18:00（园区 8:00–21:00）</t>
        </is>
      </c>
      <c r="K25" s="29" t="inlineStr">
        <is>
          <t>17:30</t>
        </is>
      </c>
      <c r="L25" s="28" t="inlineStr">
        <is>
          <t>周一</t>
        </is>
      </c>
      <c r="M25" s="28" t="inlineStr">
        <is>
          <t>公民/PR 免费；游客成人 S$8</t>
        </is>
      </c>
      <c r="N25" s="29" t="n">
        <v>45</v>
      </c>
      <c r="O25" s="29" t="n">
        <v>60</v>
      </c>
      <c r="P25" s="29" t="n">
        <v>90</v>
      </c>
      <c r="Q25" s="28" t="inlineStr">
        <is>
          <t>估计</t>
        </is>
      </c>
      <c r="R25" s="30" t="n"/>
      <c r="S25" s="30" t="n"/>
      <c r="T25" s="29" t="inlineStr">
        <is>
          <t>https://www.malayheritage.gov.sg/en/visit</t>
        </is>
      </c>
      <c r="U25" s="28" t="inlineStr">
        <is>
          <t>官网页面最后更新于 2020 年，信息可能过时</t>
        </is>
      </c>
      <c r="V25" s="31" t="inlineStr">
        <is>
          <t>资料核对（Claude）</t>
        </is>
      </c>
      <c r="W25" s="30" t="inlineStr">
        <is>
          <t>2026-10-22</t>
        </is>
      </c>
      <c r="X25" s="30" t="inlineStr">
        <is>
          <t>Claude（资料整理）</t>
        </is>
      </c>
    </row>
    <row r="26" ht="48.5" customHeight="1" s="17">
      <c r="A26" s="27" t="n">
        <v>25</v>
      </c>
      <c r="B26" s="27" t="inlineStr">
        <is>
          <t>可选</t>
        </is>
      </c>
      <c r="C26" s="27" t="inlineStr">
        <is>
          <t>文化街区</t>
        </is>
      </c>
      <c r="D26" s="26" t="inlineStr">
        <is>
          <t>Joo Chiat / Katong</t>
        </is>
      </c>
      <c r="E26" s="26" t="inlineStr">
        <is>
          <t>place:stb_attractions:974</t>
        </is>
      </c>
      <c r="F26" s="26" t="inlineStr">
        <is>
          <t>tourism</t>
        </is>
      </c>
      <c r="G26" s="27" t="n">
        <v>1.306</v>
      </c>
      <c r="H26" s="27" t="n">
        <v>103.90448</v>
      </c>
      <c r="I26" s="27" t="n"/>
      <c r="J26" s="28" t="inlineStr">
        <is>
          <t>全天开放</t>
        </is>
      </c>
      <c r="K26" s="30" t="n"/>
      <c r="L26" s="28" t="inlineStr">
        <is>
          <t>无</t>
        </is>
      </c>
      <c r="M26" s="28" t="inlineStr">
        <is>
          <t>免费</t>
        </is>
      </c>
      <c r="N26" s="29" t="n">
        <v>60</v>
      </c>
      <c r="O26" s="29" t="n">
        <v>90</v>
      </c>
      <c r="P26" s="29" t="n">
        <v>150</v>
      </c>
      <c r="Q26" s="28" t="inlineStr">
        <is>
          <t>估计</t>
        </is>
      </c>
      <c r="R26" s="30" t="n"/>
      <c r="S26" s="30" t="n"/>
      <c r="T26" s="30" t="n"/>
      <c r="U26" s="28" t="inlineStr">
        <is>
          <t>无门票的公共区域，按一般情况填写为全天开放，未见官方页面；街区，商铺各有营业时间</t>
        </is>
      </c>
      <c r="V26" s="31" t="inlineStr">
        <is>
          <t>资料核对（Claude）</t>
        </is>
      </c>
      <c r="W26" s="30" t="inlineStr">
        <is>
          <t>2026-10-22</t>
        </is>
      </c>
      <c r="X26" s="30" t="inlineStr">
        <is>
          <t>Claude（资料整理）</t>
        </is>
      </c>
    </row>
    <row r="27" ht="48.5" customHeight="1" s="17">
      <c r="A27" s="27" t="n">
        <v>26</v>
      </c>
      <c r="B27" s="26" t="inlineStr">
        <is>
          <t>★</t>
        </is>
      </c>
      <c r="C27" s="27" t="inlineStr">
        <is>
          <t>圣淘沙/南部</t>
        </is>
      </c>
      <c r="D27" s="26" t="inlineStr">
        <is>
          <t>Universal Studios Singapore</t>
        </is>
      </c>
      <c r="E27" s="26" t="inlineStr">
        <is>
          <t>place:stb_attractions:961</t>
        </is>
      </c>
      <c r="F27" s="26" t="inlineStr">
        <is>
          <t>tourism</t>
        </is>
      </c>
      <c r="G27" s="27" t="n">
        <v>1.254</v>
      </c>
      <c r="H27" s="27" t="n">
        <v>103.823808</v>
      </c>
      <c r="I27" s="26" t="inlineStr">
        <is>
          <t>Open daily at 10am.Closing time varies. Please visit the official website for more information.</t>
        </is>
      </c>
      <c r="J27" s="28" t="inlineStr">
        <is>
          <t>每日 10:00 开园，关门时间按日期变化</t>
        </is>
      </c>
      <c r="K27" s="30" t="n"/>
      <c r="L27" s="28" t="inlineStr">
        <is>
          <t>按官网日历</t>
        </is>
      </c>
      <c r="M27" s="28" t="inlineStr">
        <is>
          <t>收费（S$83 起）</t>
        </is>
      </c>
      <c r="N27" s="29" t="n">
        <v>300</v>
      </c>
      <c r="O27" s="29" t="n">
        <v>420</v>
      </c>
      <c r="P27" s="29" t="n">
        <v>540</v>
      </c>
      <c r="Q27" s="28" t="inlineStr">
        <is>
          <t>估计</t>
        </is>
      </c>
      <c r="R27" s="28" t="inlineStr">
        <is>
          <t>通常玩一整天</t>
        </is>
      </c>
      <c r="S27" s="29" t="inlineStr">
        <is>
          <t>8 Sentosa Gateway（Resorts World Sentosa）</t>
        </is>
      </c>
      <c r="T27" s="29" t="inlineStr">
        <is>
          <t>https://www.rwsentosa.com/en/attractions/universal-studios-singapore</t>
        </is>
      </c>
      <c r="U27" s="28" t="inlineStr">
        <is>
          <t>开园时间来自 STB 旧资料；每天关门时间见官网日历</t>
        </is>
      </c>
      <c r="V27" s="31" t="inlineStr">
        <is>
          <t>资料核对（Claude）</t>
        </is>
      </c>
      <c r="W27" s="30" t="inlineStr">
        <is>
          <t>2026-10-22</t>
        </is>
      </c>
      <c r="X27" s="30" t="inlineStr">
        <is>
          <t>Claude（资料整理）</t>
        </is>
      </c>
    </row>
    <row r="28" ht="64.15000000000001" customHeight="1" s="17">
      <c r="A28" s="27" t="n">
        <v>27</v>
      </c>
      <c r="B28" s="26" t="inlineStr">
        <is>
          <t>★</t>
        </is>
      </c>
      <c r="C28" s="27" t="inlineStr">
        <is>
          <t>圣淘沙/南部</t>
        </is>
      </c>
      <c r="D28" s="26" t="inlineStr">
        <is>
          <t>S.E.A. Aquarium → Singapore Oceanarium</t>
        </is>
      </c>
      <c r="E28" s="26" t="inlineStr">
        <is>
          <t>place:stb_attractions:987</t>
        </is>
      </c>
      <c r="F28" s="26" t="inlineStr">
        <is>
          <t>tourism</t>
        </is>
      </c>
      <c r="G28" s="27" t="n">
        <v>1.257</v>
      </c>
      <c r="H28" s="27" t="n">
        <v>103.819493</v>
      </c>
      <c r="I28" s="26" t="inlineStr">
        <is>
          <t>Open daily at 10am.Closing time varies. Please visit the official website for more information.</t>
        </is>
      </c>
      <c r="J28" s="30" t="n"/>
      <c r="K28" s="30" t="n"/>
      <c r="L28" s="30" t="n"/>
      <c r="M28" s="28" t="inlineStr">
        <is>
          <t>收费</t>
        </is>
      </c>
      <c r="N28" s="29" t="n">
        <v>90</v>
      </c>
      <c r="O28" s="29" t="n">
        <v>120</v>
      </c>
      <c r="P28" s="29" t="n">
        <v>180</v>
      </c>
      <c r="Q28" s="28" t="inlineStr">
        <is>
          <t>估计</t>
        </is>
      </c>
      <c r="R28" s="30" t="n"/>
      <c r="S28" s="29" t="inlineStr">
        <is>
          <t>24 Sentosa Gateway（Resorts World Sentosa）</t>
        </is>
      </c>
      <c r="T28" s="29" t="inlineStr">
        <is>
          <t>https://www.singaporeoceanarium.com/en/visit/operating-hours.html</t>
        </is>
      </c>
      <c r="U28" s="29" t="inlineStr">
        <is>
          <t>S.E.A. Aquarium 于 2025-04-30 停业，2025-07-24 以 Singapore Oceanarium 重新开放；开放时间按日期公布，请看官网日程</t>
        </is>
      </c>
      <c r="V28" s="31" t="inlineStr">
        <is>
          <t>待补充</t>
        </is>
      </c>
      <c r="W28" s="30" t="inlineStr">
        <is>
          <t>2026-10-22</t>
        </is>
      </c>
      <c r="X28" s="30" t="inlineStr">
        <is>
          <t>Claude（资料整理）</t>
        </is>
      </c>
    </row>
    <row r="29" ht="48.5" customHeight="1" s="17">
      <c r="A29" s="27" t="n">
        <v>28</v>
      </c>
      <c r="B29" s="26" t="inlineStr">
        <is>
          <t>★</t>
        </is>
      </c>
      <c r="C29" s="27" t="inlineStr">
        <is>
          <t>圣淘沙/南部</t>
        </is>
      </c>
      <c r="D29" s="26" t="inlineStr">
        <is>
          <t>Cable Car &amp; Mount Faber</t>
        </is>
      </c>
      <c r="E29" s="26" t="inlineStr">
        <is>
          <t>place:stb_attractions:991</t>
        </is>
      </c>
      <c r="F29" s="26" t="inlineStr">
        <is>
          <t>tourism</t>
        </is>
      </c>
      <c r="G29" s="27" t="n">
        <v>1.271</v>
      </c>
      <c r="H29" s="27" t="n">
        <v>103.819206</v>
      </c>
      <c r="I29" s="27" t="n"/>
      <c r="J29" s="30" t="n"/>
      <c r="K29" s="30" t="n"/>
      <c r="L29" s="30" t="n"/>
      <c r="M29" s="28" t="inlineStr">
        <is>
          <t>收费</t>
        </is>
      </c>
      <c r="N29" s="29" t="n">
        <v>30</v>
      </c>
      <c r="O29" s="29" t="n">
        <v>60</v>
      </c>
      <c r="P29" s="29" t="n">
        <v>90</v>
      </c>
      <c r="Q29" s="28" t="inlineStr">
        <is>
          <t>估计</t>
        </is>
      </c>
      <c r="R29" s="30" t="n"/>
      <c r="S29" s="29" t="inlineStr">
        <is>
          <t>Mount Faber 站；HarbourFront 站；Sentosa 站</t>
        </is>
      </c>
      <c r="T29" s="29" t="inlineStr">
        <is>
          <t>https://www.onefabergroup.com/</t>
        </is>
      </c>
      <c r="U29" s="28" t="inlineStr">
        <is>
          <t>官网禁止程序读取，需手动查开放时间</t>
        </is>
      </c>
      <c r="V29" s="31" t="inlineStr">
        <is>
          <t>待补充</t>
        </is>
      </c>
      <c r="W29" s="30" t="inlineStr">
        <is>
          <t>2026-10-22</t>
        </is>
      </c>
      <c r="X29" s="30" t="inlineStr">
        <is>
          <t>Claude（资料整理）</t>
        </is>
      </c>
    </row>
    <row r="30" ht="48.5" customHeight="1" s="17">
      <c r="A30" s="27" t="n">
        <v>29</v>
      </c>
      <c r="B30" s="26" t="inlineStr">
        <is>
          <t>★</t>
        </is>
      </c>
      <c r="C30" s="27" t="inlineStr">
        <is>
          <t>圣淘沙/南部</t>
        </is>
      </c>
      <c r="D30" s="26" t="inlineStr">
        <is>
          <t>Henderson Waves Bridge</t>
        </is>
      </c>
      <c r="E30" s="26" t="inlineStr">
        <is>
          <t>place:stb_attractions:1034</t>
        </is>
      </c>
      <c r="F30" s="26" t="inlineStr">
        <is>
          <t>tourism</t>
        </is>
      </c>
      <c r="G30" s="27" t="n">
        <v>1.276</v>
      </c>
      <c r="H30" s="27" t="n">
        <v>103.815254</v>
      </c>
      <c r="I30" s="26" t="inlineStr">
        <is>
          <t>Daily, 24 hours</t>
        </is>
      </c>
      <c r="J30" s="28" t="inlineStr">
        <is>
          <t>全天开放</t>
        </is>
      </c>
      <c r="K30" s="30" t="n"/>
      <c r="L30" s="28" t="inlineStr">
        <is>
          <t>无</t>
        </is>
      </c>
      <c r="M30" s="28" t="inlineStr">
        <is>
          <t>免费</t>
        </is>
      </c>
      <c r="N30" s="29" t="n">
        <v>20</v>
      </c>
      <c r="O30" s="29" t="n">
        <v>40</v>
      </c>
      <c r="P30" s="29" t="n">
        <v>60</v>
      </c>
      <c r="Q30" s="28" t="inlineStr">
        <is>
          <t>估计</t>
        </is>
      </c>
      <c r="R30" s="30" t="n"/>
      <c r="S30" s="30" t="n"/>
      <c r="T30" s="30" t="n"/>
      <c r="U30" s="28" t="inlineStr">
        <is>
          <t>无门票的公共区域，按一般情况填写为全天开放，未见官方页面；南部山脊步道的一段；STB 旧资料写 24 小时</t>
        </is>
      </c>
      <c r="V30" s="31" t="inlineStr">
        <is>
          <t>资料核对（Claude）</t>
        </is>
      </c>
      <c r="W30" s="30" t="inlineStr">
        <is>
          <t>2026-10-22</t>
        </is>
      </c>
      <c r="X30" s="30" t="inlineStr">
        <is>
          <t>Claude（资料整理）</t>
        </is>
      </c>
    </row>
    <row r="31" ht="48.5" customHeight="1" s="17">
      <c r="A31" s="27" t="n">
        <v>30</v>
      </c>
      <c r="B31" s="27" t="inlineStr">
        <is>
          <t>可选</t>
        </is>
      </c>
      <c r="C31" s="27" t="inlineStr">
        <is>
          <t>圣淘沙/南部</t>
        </is>
      </c>
      <c r="D31" s="26" t="inlineStr">
        <is>
          <t>Fort Siloso</t>
        </is>
      </c>
      <c r="E31" s="26" t="inlineStr">
        <is>
          <t>place:nhb_monuments:1684</t>
        </is>
      </c>
      <c r="F31" s="26" t="inlineStr">
        <is>
          <t>monument</t>
        </is>
      </c>
      <c r="G31" s="27" t="n">
        <v>1.290745</v>
      </c>
      <c r="H31" s="27" t="n">
        <v>103.806514</v>
      </c>
      <c r="I31" s="27" t="n"/>
      <c r="J31" s="28" t="inlineStr">
        <is>
          <t>每日 10:00–18:00</t>
        </is>
      </c>
      <c r="K31" s="30" t="n"/>
      <c r="L31" s="28" t="inlineStr">
        <is>
          <t>无</t>
        </is>
      </c>
      <c r="M31" s="28" t="inlineStr">
        <is>
          <t>免费</t>
        </is>
      </c>
      <c r="N31" s="29" t="n">
        <v>45</v>
      </c>
      <c r="O31" s="29" t="n">
        <v>60</v>
      </c>
      <c r="P31" s="29" t="n">
        <v>90</v>
      </c>
      <c r="Q31" s="28" t="inlineStr">
        <is>
          <t>估计</t>
        </is>
      </c>
      <c r="R31" s="30" t="n"/>
      <c r="S31" s="30" t="n"/>
      <c r="T31" s="29" t="inlineStr">
        <is>
          <t>https://www.sentosa.com.sg/en/things-to-do/attractions/fort-siloso/</t>
        </is>
      </c>
      <c r="U31" s="28" t="inlineStr">
        <is>
          <t>数据问题：NHB 数据中 Fort Siloso 坐标 (1.2907, 103.8065) 在本岛，离圣淘沙实际位置约 3.5 km，应以入口表的 OneMap 坐标为准。；资料来自官网页面摘要</t>
        </is>
      </c>
      <c r="V31" s="31" t="inlineStr">
        <is>
          <t>资料核对（Claude）</t>
        </is>
      </c>
      <c r="W31" s="30" t="inlineStr">
        <is>
          <t>2026-10-22</t>
        </is>
      </c>
      <c r="X31" s="30" t="inlineStr">
        <is>
          <t>Claude（资料整理）</t>
        </is>
      </c>
    </row>
    <row r="32" ht="48.5" customHeight="1" s="17">
      <c r="A32" s="27" t="n">
        <v>31</v>
      </c>
      <c r="B32" s="27" t="inlineStr">
        <is>
          <t>可选</t>
        </is>
      </c>
      <c r="C32" s="27" t="inlineStr">
        <is>
          <t>圣淘沙/南部</t>
        </is>
      </c>
      <c r="D32" s="26" t="inlineStr">
        <is>
          <t>Haw Par Villa</t>
        </is>
      </c>
      <c r="E32" s="26" t="inlineStr">
        <is>
          <t>place:stb_attractions:1037</t>
        </is>
      </c>
      <c r="F32" s="26" t="inlineStr">
        <is>
          <t>tourism</t>
        </is>
      </c>
      <c r="G32" s="27" t="n">
        <v>1.286</v>
      </c>
      <c r="H32" s="27" t="n">
        <v>103.78314</v>
      </c>
      <c r="I32" s="26" t="inlineStr">
        <is>
          <t>Daily, 9am – 7pm</t>
        </is>
      </c>
      <c r="J32" s="29" t="inlineStr">
        <is>
          <t>Hell's Museum 10:00–18:00</t>
        </is>
      </c>
      <c r="K32" s="29" t="inlineStr">
        <is>
          <t>17:00</t>
        </is>
      </c>
      <c r="L32" s="28" t="inlineStr">
        <is>
          <t>周一；10–11 月多日全天闭馆（日期见官网）</t>
        </is>
      </c>
      <c r="M32" s="28" t="inlineStr">
        <is>
          <t>公园免费；Hell's Museum 收费</t>
        </is>
      </c>
      <c r="N32" s="29" t="n">
        <v>45</v>
      </c>
      <c r="O32" s="29" t="n">
        <v>90</v>
      </c>
      <c r="P32" s="29" t="n">
        <v>120</v>
      </c>
      <c r="Q32" s="28" t="inlineStr">
        <is>
          <t>估计</t>
        </is>
      </c>
      <c r="R32" s="30" t="n"/>
      <c r="S32" s="30" t="n"/>
      <c r="T32" s="29" t="inlineStr">
        <is>
          <t>https://www.hawparvilla.sg/</t>
        </is>
      </c>
      <c r="U32" s="29" t="inlineStr">
        <is>
          <t>2025-12-08 起公园部分区域关闭维护，至另行通知</t>
        </is>
      </c>
      <c r="V32" s="31" t="inlineStr">
        <is>
          <t>资料核对（Claude）</t>
        </is>
      </c>
      <c r="W32" s="30" t="inlineStr">
        <is>
          <t>2026-10-22</t>
        </is>
      </c>
      <c r="X32" s="30" t="inlineStr">
        <is>
          <t>Claude（资料整理）</t>
        </is>
      </c>
    </row>
    <row r="33" ht="48.5" customHeight="1" s="17">
      <c r="A33" s="27" t="n">
        <v>32</v>
      </c>
      <c r="B33" s="27" t="inlineStr">
        <is>
          <t>可选</t>
        </is>
      </c>
      <c r="C33" s="27" t="inlineStr">
        <is>
          <t>圣淘沙/南部</t>
        </is>
      </c>
      <c r="D33" s="26" t="inlineStr">
        <is>
          <t>Orchard Road</t>
        </is>
      </c>
      <c r="E33" s="26" t="inlineStr">
        <is>
          <t>place:stb_attractions:995</t>
        </is>
      </c>
      <c r="F33" s="26" t="inlineStr">
        <is>
          <t>tourism</t>
        </is>
      </c>
      <c r="G33" s="27" t="n">
        <v>1.304</v>
      </c>
      <c r="H33" s="27" t="n">
        <v>103.83249</v>
      </c>
      <c r="I33" s="27" t="n"/>
      <c r="J33" s="28" t="inlineStr">
        <is>
          <t>全天开放</t>
        </is>
      </c>
      <c r="K33" s="30" t="n"/>
      <c r="L33" s="28" t="inlineStr">
        <is>
          <t>无</t>
        </is>
      </c>
      <c r="M33" s="28" t="inlineStr">
        <is>
          <t>免费</t>
        </is>
      </c>
      <c r="N33" s="29" t="n">
        <v>60</v>
      </c>
      <c r="O33" s="29" t="n">
        <v>120</v>
      </c>
      <c r="P33" s="29" t="n">
        <v>240</v>
      </c>
      <c r="Q33" s="28" t="inlineStr">
        <is>
          <t>估计</t>
        </is>
      </c>
      <c r="R33" s="30" t="n"/>
      <c r="S33" s="30" t="n"/>
      <c r="T33" s="30" t="n"/>
      <c r="U33" s="28" t="inlineStr">
        <is>
          <t>无门票的公共区域，按一般情况填写为全天开放，未见官方页面；购物街，商场一般约 10:00–22:00</t>
        </is>
      </c>
      <c r="V33" s="31" t="inlineStr">
        <is>
          <t>资料核对（Claude）</t>
        </is>
      </c>
      <c r="W33" s="30" t="inlineStr">
        <is>
          <t>2026-10-22</t>
        </is>
      </c>
      <c r="X33" s="30" t="inlineStr">
        <is>
          <t>Claude（资料整理）</t>
        </is>
      </c>
    </row>
    <row r="34" ht="48.5" customHeight="1" s="17">
      <c r="A34" s="27" t="n">
        <v>33</v>
      </c>
      <c r="B34" s="26" t="inlineStr">
        <is>
          <t>★</t>
        </is>
      </c>
      <c r="C34" s="27" t="inlineStr">
        <is>
          <t>万礼</t>
        </is>
      </c>
      <c r="D34" s="26" t="inlineStr">
        <is>
          <t>Singapore Zoo</t>
        </is>
      </c>
      <c r="E34" s="26" t="inlineStr">
        <is>
          <t>place:stb_attractions:989</t>
        </is>
      </c>
      <c r="F34" s="26" t="inlineStr">
        <is>
          <t>tourism</t>
        </is>
      </c>
      <c r="G34" s="27" t="n">
        <v>1.404</v>
      </c>
      <c r="H34" s="27" t="n">
        <v>103.793023</v>
      </c>
      <c r="I34" s="26" t="inlineStr">
        <is>
          <t>Daily, 8.30am – 6pm(last ticket sale at 5.30pm)</t>
        </is>
      </c>
      <c r="J34" s="28" t="inlineStr">
        <is>
          <t>每日 8:30–18:00</t>
        </is>
      </c>
      <c r="K34" s="29" t="inlineStr">
        <is>
          <t>17:00</t>
        </is>
      </c>
      <c r="L34" s="28" t="inlineStr">
        <is>
          <t>无</t>
        </is>
      </c>
      <c r="M34" s="28" t="inlineStr">
        <is>
          <t>收费</t>
        </is>
      </c>
      <c r="N34" s="29" t="n">
        <v>120</v>
      </c>
      <c r="O34" s="29" t="n">
        <v>150</v>
      </c>
      <c r="P34" s="29" t="n">
        <v>240</v>
      </c>
      <c r="Q34" s="28" t="inlineStr">
        <is>
          <t>官方</t>
        </is>
      </c>
      <c r="R34" s="28" t="inlineStr">
        <is>
          <t>官方建议 2.5 小时</t>
        </is>
      </c>
      <c r="S34" s="29" t="inlineStr">
        <is>
          <t>Singapore Zoo 主入口（Mandai 入口广场）</t>
        </is>
      </c>
      <c r="T34" s="29" t="inlineStr">
        <is>
          <t>https://www.mandai.com/en/plan-your-visit/itinerary/epic-day-out-a-full-day-of-wildlife-wonders.html</t>
        </is>
      </c>
      <c r="U34" s="30" t="n"/>
      <c r="V34" s="31" t="inlineStr">
        <is>
          <t>资料核对（Claude）</t>
        </is>
      </c>
      <c r="W34" s="30" t="inlineStr">
        <is>
          <t>2026-10-22</t>
        </is>
      </c>
      <c r="X34" s="30" t="inlineStr">
        <is>
          <t>Claude（资料整理）</t>
        </is>
      </c>
    </row>
    <row r="35" ht="48.5" customHeight="1" s="17">
      <c r="A35" s="27" t="n">
        <v>34</v>
      </c>
      <c r="B35" s="26" t="inlineStr">
        <is>
          <t>★</t>
        </is>
      </c>
      <c r="C35" s="27" t="inlineStr">
        <is>
          <t>万礼</t>
        </is>
      </c>
      <c r="D35" s="26" t="inlineStr">
        <is>
          <t>Night Safari</t>
        </is>
      </c>
      <c r="E35" s="26" t="inlineStr">
        <is>
          <t>place:stb_attractions:992</t>
        </is>
      </c>
      <c r="F35" s="26" t="inlineStr">
        <is>
          <t>tourism</t>
        </is>
      </c>
      <c r="G35" s="27" t="n">
        <v>1.402</v>
      </c>
      <c r="H35" s="27" t="n">
        <v>103.788061</v>
      </c>
      <c r="I35" s="26" t="inlineStr">
        <is>
          <t>Daily, 7.30pm - 12am .Last ticket sale at 11.15pm.F and B and retail outlets open from 5.30pm</t>
        </is>
      </c>
      <c r="J35" s="28" t="inlineStr">
        <is>
          <t>每日 18:00–24:00</t>
        </is>
      </c>
      <c r="K35" s="29" t="inlineStr">
        <is>
          <t>23:15</t>
        </is>
      </c>
      <c r="L35" s="28" t="inlineStr">
        <is>
          <t>无</t>
        </is>
      </c>
      <c r="M35" s="28" t="inlineStr">
        <is>
          <t>收费</t>
        </is>
      </c>
      <c r="N35" s="29" t="n">
        <v>150</v>
      </c>
      <c r="O35" s="29" t="n">
        <v>210</v>
      </c>
      <c r="P35" s="29" t="n">
        <v>240</v>
      </c>
      <c r="Q35" s="28" t="inlineStr">
        <is>
          <t>官方</t>
        </is>
      </c>
      <c r="R35" s="28" t="inlineStr">
        <is>
          <t>官方建议 3.5 小时</t>
        </is>
      </c>
      <c r="S35" s="29" t="inlineStr">
        <is>
          <t>Night Safari 入口（Mandai 入口广场）</t>
        </is>
      </c>
      <c r="T35" s="29" t="inlineStr">
        <is>
          <t>https://mandai.com/night-safari</t>
        </is>
      </c>
      <c r="U35" s="28" t="inlineStr">
        <is>
          <t>需预选入园时段；步道和游园车 19:00 开始。官网另一页写 18:30 开门，以园区页 18:00 为准，请复核</t>
        </is>
      </c>
      <c r="V35" s="31" t="inlineStr">
        <is>
          <t>资料核对（Claude）</t>
        </is>
      </c>
      <c r="W35" s="30" t="inlineStr">
        <is>
          <t>2026-10-22</t>
        </is>
      </c>
      <c r="X35" s="30" t="inlineStr">
        <is>
          <t>Claude（资料整理）</t>
        </is>
      </c>
    </row>
    <row r="36" ht="48.5" customHeight="1" s="17">
      <c r="A36" s="27" t="n">
        <v>35</v>
      </c>
      <c r="B36" s="26" t="inlineStr">
        <is>
          <t>★</t>
        </is>
      </c>
      <c r="C36" s="27" t="inlineStr">
        <is>
          <t>万礼</t>
        </is>
      </c>
      <c r="D36" s="26" t="inlineStr">
        <is>
          <t>River Wonders</t>
        </is>
      </c>
      <c r="E36" s="26" t="inlineStr">
        <is>
          <t>place:overture_places:eb4ed8cd-3059-4abe-8e2f-6704c7b2c6c4</t>
        </is>
      </c>
      <c r="F36" s="26" t="inlineStr">
        <is>
          <t>tourism</t>
        </is>
      </c>
      <c r="G36" s="27" t="n">
        <v>1.403524</v>
      </c>
      <c r="H36" s="27" t="n">
        <v>103.790672</v>
      </c>
      <c r="I36" s="27" t="n"/>
      <c r="J36" s="28" t="inlineStr">
        <is>
          <t>每日 9:00–18:00</t>
        </is>
      </c>
      <c r="K36" s="29" t="inlineStr">
        <is>
          <t>17:00</t>
        </is>
      </c>
      <c r="L36" s="28" t="inlineStr">
        <is>
          <t>无</t>
        </is>
      </c>
      <c r="M36" s="28" t="inlineStr">
        <is>
          <t>收费</t>
        </is>
      </c>
      <c r="N36" s="29" t="n">
        <v>90</v>
      </c>
      <c r="O36" s="29" t="n">
        <v>120</v>
      </c>
      <c r="P36" s="29" t="n">
        <v>180</v>
      </c>
      <c r="Q36" s="28" t="inlineStr">
        <is>
          <t>官方</t>
        </is>
      </c>
      <c r="R36" s="28" t="inlineStr">
        <is>
          <t>官方建议 2 小时</t>
        </is>
      </c>
      <c r="S36" s="29" t="inlineStr">
        <is>
          <t>River Wonders 入口（Mandai 入口广场）</t>
        </is>
      </c>
      <c r="T36" s="29" t="inlineStr">
        <is>
          <t>https://www.mandai.com/en/plan-your-visit/itinerary/epic-day-out-a-full-day-of-wildlife-wonders.html</t>
        </is>
      </c>
      <c r="U36" s="28" t="inlineStr">
        <is>
          <t>原 River Safari；STB 旧记录 River Safari Singapore 应关联或隐藏</t>
        </is>
      </c>
      <c r="V36" s="31" t="inlineStr">
        <is>
          <t>资料核对（Claude）</t>
        </is>
      </c>
      <c r="W36" s="30" t="inlineStr">
        <is>
          <t>2026-10-22</t>
        </is>
      </c>
      <c r="X36" s="30" t="inlineStr">
        <is>
          <t>Claude（资料整理）</t>
        </is>
      </c>
    </row>
    <row r="37" ht="48.5" customHeight="1" s="17">
      <c r="A37" s="27" t="n">
        <v>36</v>
      </c>
      <c r="B37" s="26" t="inlineStr">
        <is>
          <t>★</t>
        </is>
      </c>
      <c r="C37" s="27" t="inlineStr">
        <is>
          <t>万礼</t>
        </is>
      </c>
      <c r="D37" s="26" t="inlineStr">
        <is>
          <t>Bird Paradise</t>
        </is>
      </c>
      <c r="E37" s="26" t="inlineStr">
        <is>
          <t>place:overture_places:29a9a8c1-2900-4b6e-88d3-ca06de7d7317</t>
        </is>
      </c>
      <c r="F37" s="26" t="inlineStr">
        <is>
          <t>tourism</t>
        </is>
      </c>
      <c r="G37" s="27" t="n">
        <v>1.407151</v>
      </c>
      <c r="H37" s="27" t="n">
        <v>103.781273</v>
      </c>
      <c r="I37" s="27" t="n"/>
      <c r="J37" s="28" t="inlineStr">
        <is>
          <t>每日 9:00–18:00</t>
        </is>
      </c>
      <c r="K37" s="29" t="inlineStr">
        <is>
          <t>17:00</t>
        </is>
      </c>
      <c r="L37" s="28" t="inlineStr">
        <is>
          <t>无</t>
        </is>
      </c>
      <c r="M37" s="28" t="inlineStr">
        <is>
          <t>收费</t>
        </is>
      </c>
      <c r="N37" s="29" t="n">
        <v>90</v>
      </c>
      <c r="O37" s="29" t="n">
        <v>120</v>
      </c>
      <c r="P37" s="29" t="n">
        <v>180</v>
      </c>
      <c r="Q37" s="28" t="inlineStr">
        <is>
          <t>官方</t>
        </is>
      </c>
      <c r="R37" s="28" t="inlineStr">
        <is>
          <t>官方建议 2 小时</t>
        </is>
      </c>
      <c r="S37" s="29" t="inlineStr">
        <is>
          <t>Bird Paradise 入口（20 Mandai Lake Rd）</t>
        </is>
      </c>
      <c r="T37" s="29" t="inlineStr">
        <is>
          <t>https://www.mandai.com/en/plan-your-visit/itinerary/epic-day-out-a-full-day-of-wildlife-wonders.html</t>
        </is>
      </c>
      <c r="U37" s="29" t="inlineStr">
        <is>
          <t>Jurong Bird Park 搬迁后的新址</t>
        </is>
      </c>
      <c r="V37" s="31" t="inlineStr">
        <is>
          <t>资料核对（Claude）</t>
        </is>
      </c>
      <c r="W37" s="30" t="inlineStr">
        <is>
          <t>2026-10-22</t>
        </is>
      </c>
      <c r="X37" s="30" t="inlineStr">
        <is>
          <t>Claude（资料整理）</t>
        </is>
      </c>
    </row>
    <row r="38" ht="166.4" customHeight="1" s="17">
      <c r="A38" s="27" t="n">
        <v>37</v>
      </c>
      <c r="B38" s="26" t="inlineStr">
        <is>
          <t>★</t>
        </is>
      </c>
      <c r="C38" s="27" t="inlineStr">
        <is>
          <t>自然</t>
        </is>
      </c>
      <c r="D38" s="26" t="inlineStr">
        <is>
          <t>Singapore Botanic Gardens</t>
        </is>
      </c>
      <c r="E38" s="26" t="inlineStr">
        <is>
          <t>place:stb_attractions:988</t>
        </is>
      </c>
      <c r="F38" s="26" t="inlineStr">
        <is>
          <t>tourism</t>
        </is>
      </c>
      <c r="G38" s="27" t="n">
        <v>1.314</v>
      </c>
      <c r="H38" s="27" t="n">
        <v>103.815914</v>
      </c>
      <c r="I38" s="26" t="inlineStr">
        <is>
          <t>Singapore Botanic Gardens Daily, 5am - 12am National Orchid Garden Daily, 8.30am - 7pm(last ticket sales at 6pm)Jacob Ballas Children's Garden Tuesday to Sunday, 8am - 7pm(last admission: 6.30pm)Closed every Monday (except when it falls on a designated public holiday)SBG Heritage MuseumDaily*, 9am - 6pm*Closed every last Monday of the month (except when it falls on a designated public holiday, it will be closed the following day)</t>
        </is>
      </c>
      <c r="J38" s="28" t="inlineStr">
        <is>
          <t>每日 5:00–24:00</t>
        </is>
      </c>
      <c r="K38" s="30" t="n"/>
      <c r="L38" s="28" t="inlineStr">
        <is>
          <t>无</t>
        </is>
      </c>
      <c r="M38" s="28" t="inlineStr">
        <is>
          <t>花园免费；国家胡姬花园收费</t>
        </is>
      </c>
      <c r="N38" s="29" t="n">
        <v>60</v>
      </c>
      <c r="O38" s="29" t="n">
        <v>120</v>
      </c>
      <c r="P38" s="29" t="n">
        <v>180</v>
      </c>
      <c r="Q38" s="28" t="inlineStr">
        <is>
          <t>估计</t>
        </is>
      </c>
      <c r="R38" s="28" t="inlineStr">
        <is>
          <t>官方步道 40–90 分钟</t>
        </is>
      </c>
      <c r="S38" s="29" t="inlineStr">
        <is>
          <t>Tanglin Gate；Bukit Timah Gate（近 Botanic Gardens 地铁站）；Nassim Gate；Gallop Gate</t>
        </is>
      </c>
      <c r="T38" s="29" t="inlineStr">
        <is>
          <t>https://www.nparks.gov.sg/sbg</t>
        </is>
      </c>
      <c r="U38" s="28" t="inlineStr">
        <is>
          <t>国家胡姬花园开放时间另计，官网首页未列</t>
        </is>
      </c>
      <c r="V38" s="31" t="inlineStr">
        <is>
          <t>资料核对（Claude）</t>
        </is>
      </c>
      <c r="W38" s="30" t="inlineStr">
        <is>
          <t>2026-10-22</t>
        </is>
      </c>
      <c r="X38" s="30" t="inlineStr">
        <is>
          <t>Claude（资料整理）</t>
        </is>
      </c>
    </row>
    <row r="39" ht="48.5" customHeight="1" s="17">
      <c r="A39" s="27" t="n">
        <v>38</v>
      </c>
      <c r="B39" s="26" t="inlineStr">
        <is>
          <t>★</t>
        </is>
      </c>
      <c r="C39" s="27" t="inlineStr">
        <is>
          <t>自然</t>
        </is>
      </c>
      <c r="D39" s="26" t="inlineStr">
        <is>
          <t>MacRitchie Reservoir Park</t>
        </is>
      </c>
      <c r="E39" s="26" t="inlineStr">
        <is>
          <t>place:nparks_parks:120207</t>
        </is>
      </c>
      <c r="F39" s="26" t="inlineStr">
        <is>
          <t>nature</t>
        </is>
      </c>
      <c r="G39" s="27" t="n">
        <v>1.343451</v>
      </c>
      <c r="H39" s="27" t="n">
        <v>103.836281</v>
      </c>
      <c r="I39" s="27" t="n"/>
      <c r="J39" s="30" t="n"/>
      <c r="K39" s="30" t="n"/>
      <c r="L39" s="30" t="n"/>
      <c r="M39" s="28" t="inlineStr">
        <is>
          <t>免费</t>
        </is>
      </c>
      <c r="N39" s="29" t="n">
        <v>60</v>
      </c>
      <c r="O39" s="29" t="n">
        <v>150</v>
      </c>
      <c r="P39" s="29" t="n">
        <v>240</v>
      </c>
      <c r="Q39" s="28" t="inlineStr">
        <is>
          <t>估计</t>
        </is>
      </c>
      <c r="R39" s="28" t="inlineStr">
        <is>
          <t>到树顶吊桥来回约 3–4 小时（需核实）</t>
        </is>
      </c>
      <c r="S39" s="30" t="n"/>
      <c r="T39" s="29" t="inlineStr">
        <is>
          <t>https://www.nparks.gov.sg/visit/parks</t>
        </is>
      </c>
      <c r="U39" s="28" t="inlineStr">
        <is>
          <t>未找到可读取的官方页面；树顶吊桥另有开放时间和休息日，需查官网</t>
        </is>
      </c>
      <c r="V39" s="31" t="inlineStr">
        <is>
          <t>待补充</t>
        </is>
      </c>
      <c r="W39" s="30" t="inlineStr">
        <is>
          <t>2026-10-22</t>
        </is>
      </c>
      <c r="X39" s="30" t="inlineStr">
        <is>
          <t>Claude（资料整理）</t>
        </is>
      </c>
    </row>
    <row r="40" ht="48.5" customHeight="1" s="17">
      <c r="A40" s="27" t="n">
        <v>39</v>
      </c>
      <c r="B40" s="26" t="inlineStr">
        <is>
          <t>★</t>
        </is>
      </c>
      <c r="C40" s="27" t="inlineStr">
        <is>
          <t>自然</t>
        </is>
      </c>
      <c r="D40" s="26" t="inlineStr">
        <is>
          <t>Bukit Timah Nature Reserve</t>
        </is>
      </c>
      <c r="E40" s="26" t="inlineStr">
        <is>
          <t>place:nparks_parks:120361</t>
        </is>
      </c>
      <c r="F40" s="26" t="inlineStr">
        <is>
          <t>nature</t>
        </is>
      </c>
      <c r="G40" s="27" t="n">
        <v>1.354059</v>
      </c>
      <c r="H40" s="27" t="n">
        <v>103.779099</v>
      </c>
      <c r="I40" s="27" t="n"/>
      <c r="J40" s="28" t="inlineStr">
        <is>
          <t>每日 7:00–19:00</t>
        </is>
      </c>
      <c r="K40" s="30" t="n"/>
      <c r="L40" s="28" t="inlineStr">
        <is>
          <t>无（山顶 2026-07 至 2028-03 有拆除工程）</t>
        </is>
      </c>
      <c r="M40" s="28" t="inlineStr">
        <is>
          <t>免费（停车收费）</t>
        </is>
      </c>
      <c r="N40" s="29" t="n">
        <v>60</v>
      </c>
      <c r="O40" s="29" t="n">
        <v>120</v>
      </c>
      <c r="P40" s="29" t="n">
        <v>180</v>
      </c>
      <c r="Q40" s="28" t="inlineStr">
        <is>
          <t>估计</t>
        </is>
      </c>
      <c r="R40" s="30" t="n"/>
      <c r="S40" s="29" t="inlineStr">
        <is>
          <t>Bukit Timah Nature Reserve Visitor Centre（Hindhede Drive 尽头）</t>
        </is>
      </c>
      <c r="T40" s="29" t="inlineStr">
        <is>
          <t>https://www.nparks.gov.sg/visit/parks/park-detail/bukit-timah-nature-reserve</t>
        </is>
      </c>
      <c r="U40" s="30" t="n"/>
      <c r="V40" s="31" t="inlineStr">
        <is>
          <t>资料核对（Claude）</t>
        </is>
      </c>
      <c r="W40" s="30" t="inlineStr">
        <is>
          <t>2026-10-22</t>
        </is>
      </c>
      <c r="X40" s="30" t="inlineStr">
        <is>
          <t>Claude（资料整理）</t>
        </is>
      </c>
    </row>
    <row r="41" ht="48.5" customHeight="1" s="17">
      <c r="A41" s="27" t="n">
        <v>40</v>
      </c>
      <c r="B41" s="26" t="inlineStr">
        <is>
          <t>★</t>
        </is>
      </c>
      <c r="C41" s="27" t="inlineStr">
        <is>
          <t>自然</t>
        </is>
      </c>
      <c r="D41" s="26" t="inlineStr">
        <is>
          <t>East Coast Park</t>
        </is>
      </c>
      <c r="E41" s="26" t="inlineStr">
        <is>
          <t>place:stb_attractions:966</t>
        </is>
      </c>
      <c r="F41" s="26" t="inlineStr">
        <is>
          <t>tourism</t>
        </is>
      </c>
      <c r="G41" s="27" t="n">
        <v>1.301</v>
      </c>
      <c r="H41" s="27" t="n">
        <v>103.912187</v>
      </c>
      <c r="I41" s="27" t="n"/>
      <c r="J41" s="29" t="inlineStr">
        <is>
          <t>24 小时</t>
        </is>
      </c>
      <c r="K41" s="30" t="n"/>
      <c r="L41" s="28" t="inlineStr">
        <is>
          <t>无</t>
        </is>
      </c>
      <c r="M41" s="28" t="inlineStr">
        <is>
          <t>免费（停车收费）</t>
        </is>
      </c>
      <c r="N41" s="29" t="n">
        <v>60</v>
      </c>
      <c r="O41" s="29" t="n">
        <v>120</v>
      </c>
      <c r="P41" s="29" t="n">
        <v>240</v>
      </c>
      <c r="Q41" s="28" t="inlineStr">
        <is>
          <t>估计</t>
        </is>
      </c>
      <c r="R41" s="30" t="n"/>
      <c r="S41" s="30" t="n"/>
      <c r="T41" s="29" t="inlineStr">
        <is>
          <t>https://www.nparks.gov.sg/visit/parks/park-detail/east-coast-park</t>
        </is>
      </c>
      <c r="U41" s="28" t="inlineStr">
        <is>
          <t>公园很长（A–G 区），最近地铁站 Bedok；C1、C4 停车场步道施工</t>
        </is>
      </c>
      <c r="V41" s="31" t="inlineStr">
        <is>
          <t>资料核对（Claude）</t>
        </is>
      </c>
      <c r="W41" s="30" t="inlineStr">
        <is>
          <t>2026-10-22</t>
        </is>
      </c>
      <c r="X41" s="30" t="inlineStr">
        <is>
          <t>Claude（资料整理）</t>
        </is>
      </c>
    </row>
    <row r="42" ht="48.5" customHeight="1" s="17">
      <c r="A42" s="27" t="n">
        <v>41</v>
      </c>
      <c r="B42" s="26" t="inlineStr">
        <is>
          <t>★</t>
        </is>
      </c>
      <c r="C42" s="27" t="inlineStr">
        <is>
          <t>自然</t>
        </is>
      </c>
      <c r="D42" s="26" t="inlineStr">
        <is>
          <t>Sungei Buloh Wetland Reserve</t>
        </is>
      </c>
      <c r="E42" s="26" t="inlineStr">
        <is>
          <t>place:nparks_parks:120437</t>
        </is>
      </c>
      <c r="F42" s="26" t="inlineStr">
        <is>
          <t>nature</t>
        </is>
      </c>
      <c r="G42" s="27" t="n">
        <v>1.444738</v>
      </c>
      <c r="H42" s="27" t="n">
        <v>103.724523</v>
      </c>
      <c r="I42" s="27" t="n"/>
      <c r="J42" s="28" t="inlineStr">
        <is>
          <t>每日 7:00–19:00</t>
        </is>
      </c>
      <c r="K42" s="29" t="inlineStr">
        <is>
          <t>18:30</t>
        </is>
      </c>
      <c r="L42" s="28" t="inlineStr">
        <is>
          <t>无（部分区域因潮汐/天气临时关闭）</t>
        </is>
      </c>
      <c r="M42" s="28" t="inlineStr">
        <is>
          <t>免费</t>
        </is>
      </c>
      <c r="N42" s="29" t="n">
        <v>60</v>
      </c>
      <c r="O42" s="29" t="n">
        <v>120</v>
      </c>
      <c r="P42" s="29" t="n">
        <v>180</v>
      </c>
      <c r="Q42" s="28" t="inlineStr">
        <is>
          <t>估计</t>
        </is>
      </c>
      <c r="R42" s="30" t="n"/>
      <c r="S42" s="29" t="inlineStr">
        <is>
          <t>Visitor Centre（60 Kranji Way）；Wetland Centre</t>
        </is>
      </c>
      <c r="T42" s="29" t="inlineStr">
        <is>
          <t>https://www.nparks.gov.sg/visit/parks/park-detail/sungei-buloh-wetland-reserve</t>
        </is>
      </c>
      <c r="U42" s="29" t="inlineStr">
        <is>
          <t>Platform 1 升级至 2026-10-23；两处均有免费停车</t>
        </is>
      </c>
      <c r="V42" s="31" t="inlineStr">
        <is>
          <t>资料核对（Claude）</t>
        </is>
      </c>
      <c r="W42" s="30" t="inlineStr">
        <is>
          <t>2026-10-22</t>
        </is>
      </c>
      <c r="X42" s="30" t="inlineStr">
        <is>
          <t>Claude（资料整理）</t>
        </is>
      </c>
    </row>
    <row r="43" ht="48.5" customHeight="1" s="17">
      <c r="A43" s="27" t="n">
        <v>42</v>
      </c>
      <c r="B43" s="26" t="inlineStr">
        <is>
          <t>★</t>
        </is>
      </c>
      <c r="C43" s="27" t="inlineStr">
        <is>
          <t>自然</t>
        </is>
      </c>
      <c r="D43" s="26" t="inlineStr">
        <is>
          <t>Pulau Ubin / Chek Jawa</t>
        </is>
      </c>
      <c r="E43" s="26" t="inlineStr">
        <is>
          <t>place:stb_attractions:993</t>
        </is>
      </c>
      <c r="F43" s="26" t="inlineStr">
        <is>
          <t>tourism</t>
        </is>
      </c>
      <c r="G43" s="27" t="n">
        <v>1.414</v>
      </c>
      <c r="H43" s="27" t="n">
        <v>103.959261</v>
      </c>
      <c r="I43" s="27" t="n"/>
      <c r="J43" s="30" t="n"/>
      <c r="K43" s="30" t="n"/>
      <c r="L43" s="30" t="n"/>
      <c r="M43" s="28" t="inlineStr">
        <is>
          <t>岛上免费（渡轮另付）</t>
        </is>
      </c>
      <c r="N43" s="29" t="n">
        <v>180</v>
      </c>
      <c r="O43" s="29" t="n">
        <v>240</v>
      </c>
      <c r="P43" s="29" t="n">
        <v>360</v>
      </c>
      <c r="Q43" s="28" t="inlineStr">
        <is>
          <t>估计</t>
        </is>
      </c>
      <c r="R43" s="28" t="inlineStr">
        <is>
          <t>一般半天</t>
        </is>
      </c>
      <c r="S43" s="29" t="inlineStr">
        <is>
          <t>Changi Point Ferry Terminal（乘小船上岛）</t>
        </is>
      </c>
      <c r="T43" s="29" t="inlineStr">
        <is>
          <t>https://www.nparks.gov.sg/visit/parks</t>
        </is>
      </c>
      <c r="U43" s="29" t="inlineStr">
        <is>
          <t>Chek Jawa 栈道另有开放时间，需查官网</t>
        </is>
      </c>
      <c r="V43" s="31" t="inlineStr">
        <is>
          <t>待补充</t>
        </is>
      </c>
      <c r="W43" s="30" t="inlineStr">
        <is>
          <t>2026-10-22</t>
        </is>
      </c>
      <c r="X43" s="30" t="inlineStr">
        <is>
          <t>Claude（资料整理）</t>
        </is>
      </c>
    </row>
    <row r="44" ht="48.5" customHeight="1" s="17">
      <c r="A44" s="27" t="n">
        <v>43</v>
      </c>
      <c r="B44" s="26" t="inlineStr">
        <is>
          <t>★</t>
        </is>
      </c>
      <c r="C44" s="27" t="inlineStr">
        <is>
          <t>自然</t>
        </is>
      </c>
      <c r="D44" s="26" t="inlineStr">
        <is>
          <t>Jurong Lake Gardens (Lakeside Garden)</t>
        </is>
      </c>
      <c r="E44" s="26" t="inlineStr">
        <is>
          <t>place:nparks_parks:120210</t>
        </is>
      </c>
      <c r="F44" s="26" t="inlineStr">
        <is>
          <t>nature</t>
        </is>
      </c>
      <c r="G44" s="27" t="n">
        <v>1.333663</v>
      </c>
      <c r="H44" s="27" t="n">
        <v>103.726949</v>
      </c>
      <c r="I44" s="27" t="n"/>
      <c r="J44" s="28" t="inlineStr">
        <is>
          <t>全天开放</t>
        </is>
      </c>
      <c r="K44" s="30" t="n"/>
      <c r="L44" s="28" t="inlineStr">
        <is>
          <t>无</t>
        </is>
      </c>
      <c r="M44" s="28" t="inlineStr">
        <is>
          <t>免费</t>
        </is>
      </c>
      <c r="N44" s="29" t="n">
        <v>60</v>
      </c>
      <c r="O44" s="29" t="n">
        <v>90</v>
      </c>
      <c r="P44" s="29" t="n">
        <v>150</v>
      </c>
      <c r="Q44" s="28" t="inlineStr">
        <is>
          <t>估计</t>
        </is>
      </c>
      <c r="R44" s="30" t="n"/>
      <c r="S44" s="30" t="n"/>
      <c r="T44" s="30" t="n"/>
      <c r="U44" s="28" t="inlineStr">
        <is>
          <t>无门票的公共区域，按一般情况填写为全天开放，未见官方页面；裕廊湖花园</t>
        </is>
      </c>
      <c r="V44" s="31" t="inlineStr">
        <is>
          <t>资料核对（Claude）</t>
        </is>
      </c>
      <c r="W44" s="30" t="inlineStr">
        <is>
          <t>2026-10-22</t>
        </is>
      </c>
      <c r="X44" s="30" t="inlineStr">
        <is>
          <t>Claude（资料整理）</t>
        </is>
      </c>
    </row>
    <row r="45" ht="64.15000000000001" customHeight="1" s="17">
      <c r="A45" s="27" t="n">
        <v>44</v>
      </c>
      <c r="B45" s="27" t="inlineStr">
        <is>
          <t>可选</t>
        </is>
      </c>
      <c r="C45" s="27" t="inlineStr">
        <is>
          <t>自然</t>
        </is>
      </c>
      <c r="D45" s="26" t="inlineStr">
        <is>
          <t>Chinese Garden</t>
        </is>
      </c>
      <c r="E45" s="26" t="inlineStr">
        <is>
          <t>place:stb_attractions:965</t>
        </is>
      </c>
      <c r="F45" s="26" t="inlineStr">
        <is>
          <t>tourism</t>
        </is>
      </c>
      <c r="G45" s="27" t="n">
        <v>1.339</v>
      </c>
      <c r="H45" s="27" t="n">
        <v>103.73</v>
      </c>
      <c r="I45" s="26" t="inlineStr">
        <is>
          <t>Daily, 6am – 11pm</t>
        </is>
      </c>
      <c r="J45" s="28" t="inlineStr">
        <is>
          <t>每日 6:00–23:00</t>
        </is>
      </c>
      <c r="K45" s="30" t="n"/>
      <c r="L45" s="30" t="n"/>
      <c r="M45" s="28" t="inlineStr">
        <is>
          <t>免费</t>
        </is>
      </c>
      <c r="N45" s="29" t="n">
        <v>45</v>
      </c>
      <c r="O45" s="29" t="n">
        <v>60</v>
      </c>
      <c r="P45" s="29" t="n">
        <v>90</v>
      </c>
      <c r="Q45" s="28" t="inlineStr">
        <is>
          <t>估计</t>
        </is>
      </c>
      <c r="R45" s="30" t="n"/>
      <c r="S45" s="30" t="n"/>
      <c r="T45" s="30" t="n"/>
      <c r="U45" s="28" t="inlineStr">
        <is>
          <t>沿用 STB 旧资料（约 2018 年），官网无法自动读取，未能确认是否仍有效；裕廊湖花园官网显示园内部分设施维护中，请注意</t>
        </is>
      </c>
      <c r="V45" s="31" t="inlineStr">
        <is>
          <t>资料核对（Claude）</t>
        </is>
      </c>
      <c r="W45" s="30" t="inlineStr">
        <is>
          <t>2026-10-22</t>
        </is>
      </c>
      <c r="X45" s="30" t="inlineStr">
        <is>
          <t>Claude（资料整理）</t>
        </is>
      </c>
    </row>
    <row r="46" ht="48.5" customHeight="1" s="17">
      <c r="A46" s="27" t="n">
        <v>45</v>
      </c>
      <c r="B46" s="27" t="inlineStr">
        <is>
          <t>可选</t>
        </is>
      </c>
      <c r="C46" s="27" t="inlineStr">
        <is>
          <t>自然</t>
        </is>
      </c>
      <c r="D46" s="26" t="inlineStr">
        <is>
          <t>HortPark</t>
        </is>
      </c>
      <c r="E46" s="26" t="inlineStr">
        <is>
          <t>place:nparks_parks:120345</t>
        </is>
      </c>
      <c r="F46" s="26" t="inlineStr">
        <is>
          <t>nature</t>
        </is>
      </c>
      <c r="G46" s="27" t="n">
        <v>1.279078</v>
      </c>
      <c r="H46" s="27" t="n">
        <v>103.798053</v>
      </c>
      <c r="I46" s="26" t="inlineStr">
        <is>
          <t>Daily, 6am –10pm</t>
        </is>
      </c>
      <c r="J46" s="28" t="inlineStr">
        <is>
          <t>每日 6:00–23:00（一般园区）</t>
        </is>
      </c>
      <c r="K46" s="30" t="n"/>
      <c r="L46" s="28" t="inlineStr">
        <is>
          <t>无</t>
        </is>
      </c>
      <c r="M46" s="28" t="inlineStr">
        <is>
          <t>免费</t>
        </is>
      </c>
      <c r="N46" s="29" t="n">
        <v>30</v>
      </c>
      <c r="O46" s="29" t="n">
        <v>60</v>
      </c>
      <c r="P46" s="29" t="n">
        <v>90</v>
      </c>
      <c r="Q46" s="28" t="inlineStr">
        <is>
          <t>估计</t>
        </is>
      </c>
      <c r="R46" s="30" t="n"/>
      <c r="S46" s="30" t="n"/>
      <c r="T46" s="29" t="inlineStr">
        <is>
          <t>https://www.nparks.gov.sg/visit/parks/park-detail/hortpark</t>
        </is>
      </c>
      <c r="U46" s="28" t="inlineStr">
        <is>
          <t>开放时间已于 2026-09-14 核验开放时间已在 9 月核验过（6:00–23:00），只需补入口和时长</t>
        </is>
      </c>
      <c r="V46" s="31" t="inlineStr">
        <is>
          <t>资料核对（Claude）</t>
        </is>
      </c>
      <c r="W46" s="30" t="inlineStr">
        <is>
          <t>2026-10-22</t>
        </is>
      </c>
      <c r="X46" s="30" t="inlineStr">
        <is>
          <t>Claude（资料整理）</t>
        </is>
      </c>
    </row>
    <row r="47" ht="90.25" customHeight="1" s="17">
      <c r="A47" s="27" t="n">
        <v>46</v>
      </c>
      <c r="B47" s="27" t="inlineStr">
        <is>
          <t>可选</t>
        </is>
      </c>
      <c r="C47" s="27" t="inlineStr">
        <is>
          <t>自然</t>
        </is>
      </c>
      <c r="D47" s="26" t="inlineStr">
        <is>
          <t>Singapore Science Centre</t>
        </is>
      </c>
      <c r="E47" s="26" t="inlineStr">
        <is>
          <t>place:stb_attractions:962</t>
        </is>
      </c>
      <c r="F47" s="26" t="inlineStr">
        <is>
          <t>tourism</t>
        </is>
      </c>
      <c r="G47" s="27" t="n">
        <v>1.333</v>
      </c>
      <c r="H47" s="27" t="n">
        <v>103.735872</v>
      </c>
      <c r="I47" s="26" t="inlineStr">
        <is>
          <t>Science Centre Singapore Daily, 10am – 6pm(last admission: 5.15pm) .Omni Theatre Daily, 12pm – 6pm (last show: 6pm) . Snow City Daily, 10am – 6pm (last admission: 5pm) School and public holidays, 10am – 7pm (last admission: 6pm)</t>
        </is>
      </c>
      <c r="J47" s="28" t="inlineStr">
        <is>
          <t>每日 10:00–17:00</t>
        </is>
      </c>
      <c r="K47" s="29" t="inlineStr">
        <is>
          <t>16:15</t>
        </is>
      </c>
      <c r="L47" s="28" t="inlineStr">
        <is>
          <t>无</t>
        </is>
      </c>
      <c r="M47" s="28" t="inlineStr">
        <is>
          <t>收费</t>
        </is>
      </c>
      <c r="N47" s="29" t="n">
        <v>90</v>
      </c>
      <c r="O47" s="29" t="n">
        <v>150</v>
      </c>
      <c r="P47" s="29" t="n">
        <v>240</v>
      </c>
      <c r="Q47" s="28" t="inlineStr">
        <is>
          <t>估计</t>
        </is>
      </c>
      <c r="R47" s="30" t="n"/>
      <c r="S47" s="30" t="n"/>
      <c r="T47" s="29" t="inlineStr">
        <is>
          <t>https://www.science.edu.sg/visit-us/plan-your-visit</t>
        </is>
      </c>
      <c r="U47" s="30" t="n"/>
      <c r="V47" s="31" t="inlineStr">
        <is>
          <t>资料核对（Claude）</t>
        </is>
      </c>
      <c r="W47" s="30" t="inlineStr">
        <is>
          <t>2026-10-22</t>
        </is>
      </c>
      <c r="X47" s="30" t="inlineStr">
        <is>
          <t>Claude（资料整理）</t>
        </is>
      </c>
    </row>
    <row r="48" ht="48.5" customHeight="1" s="17">
      <c r="A48" s="27" t="n">
        <v>47</v>
      </c>
      <c r="B48" s="27" t="inlineStr">
        <is>
          <t>可选</t>
        </is>
      </c>
      <c r="C48" s="27" t="inlineStr">
        <is>
          <t>机场</t>
        </is>
      </c>
      <c r="D48" s="26" t="inlineStr">
        <is>
          <t>Jewel Changi Airport</t>
        </is>
      </c>
      <c r="E48" s="26" t="inlineStr">
        <is>
          <t>place:overture_places:5e1391f8-411f-4544-af2a-9094302fdfad</t>
        </is>
      </c>
      <c r="F48" s="26" t="inlineStr">
        <is>
          <t>tourism</t>
        </is>
      </c>
      <c r="G48" s="27" t="n">
        <v>1.360119</v>
      </c>
      <c r="H48" s="27" t="n">
        <v>103.989784</v>
      </c>
      <c r="I48" s="27" t="n"/>
      <c r="J48" s="30" t="n"/>
      <c r="K48" s="30" t="n"/>
      <c r="L48" s="30" t="n"/>
      <c r="M48" s="28" t="inlineStr">
        <is>
          <t>免费入场（部分景点收费）</t>
        </is>
      </c>
      <c r="N48" s="29" t="n">
        <v>60</v>
      </c>
      <c r="O48" s="29" t="n">
        <v>120</v>
      </c>
      <c r="P48" s="29" t="n">
        <v>240</v>
      </c>
      <c r="Q48" s="28" t="inlineStr">
        <is>
          <t>估计</t>
        </is>
      </c>
      <c r="R48" s="30" t="n"/>
      <c r="S48" s="29" t="inlineStr">
        <is>
          <t>78 Airport Boulevard</t>
        </is>
      </c>
      <c r="T48" s="29" t="inlineStr">
        <is>
          <t>https://www.jewelchangiairport.com/</t>
        </is>
      </c>
      <c r="U48" s="28" t="inlineStr">
        <is>
          <t>可选；商场和雨漩涡开放时间不同，未查</t>
        </is>
      </c>
      <c r="V48" s="31" t="inlineStr">
        <is>
          <t>待补充</t>
        </is>
      </c>
      <c r="W48" s="30" t="inlineStr">
        <is>
          <t>2026-10-22</t>
        </is>
      </c>
      <c r="X48" s="30" t="inlineStr">
        <is>
          <t>Claude（资料整理）</t>
        </is>
      </c>
    </row>
  </sheetData>
  <autoFilter ref="A1:X48"/>
  <dataValidations count="3">
    <dataValidation sqref="V2:V68" showDropDown="0" showInputMessage="0" showErrorMessage="0" allowBlank="1" type="list" errorStyle="stop" operator="between">
      <formula1>"待核验,资料核对（Claude）,待补充,已确认,需修改"</formula1>
      <formula2>0</formula2>
    </dataValidation>
    <dataValidation sqref="Q2:Q68" showDropDown="0" showInputMessage="0" showErrorMessage="0" allowBlank="1" type="list" errorStyle="stop" operator="between">
      <formula1>"官方,估计,人工核验"</formula1>
      <formula2>0</formula2>
    </dataValidation>
    <dataValidation sqref="N2:P68" showDropDown="0" showInputMessage="0" showErrorMessage="1" allowBlank="1" error="请填 0–720 之间的整数分钟" type="whole" errorStyle="stop" operator="between">
      <formula1>0</formula1>
      <formula2>720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16" min="1" max="1"/>
    <col width="28" customWidth="1" style="16" min="2" max="2"/>
    <col width="34" customWidth="1" style="16" min="3" max="3"/>
    <col width="11" customWidth="1" style="16" min="4" max="5"/>
    <col width="14" customWidth="1" style="16" min="6" max="6"/>
    <col width="8" customWidth="1" style="16" min="7" max="7"/>
    <col width="36" customWidth="1" style="16" min="8" max="8"/>
    <col width="10" customWidth="1" style="16" min="9" max="9"/>
    <col width="30" customWidth="1" style="16" min="10" max="10"/>
  </cols>
  <sheetData>
    <row r="1" ht="17.15" customHeight="1" s="17">
      <c r="A1" s="32" t="inlineStr">
        <is>
          <t>地点 ID</t>
        </is>
      </c>
      <c r="B1" s="32" t="inlineStr">
        <is>
          <t>景点</t>
        </is>
      </c>
      <c r="C1" s="32" t="inlineStr">
        <is>
          <t>入口名称</t>
        </is>
      </c>
      <c r="D1" s="32" t="inlineStr">
        <is>
          <t>纬度</t>
        </is>
      </c>
      <c r="E1" s="32" t="inlineStr">
        <is>
          <t>经度</t>
        </is>
      </c>
      <c r="F1" s="32" t="inlineStr">
        <is>
          <t>入口类型</t>
        </is>
      </c>
      <c r="G1" s="32" t="inlineStr">
        <is>
          <t>无障碍</t>
        </is>
      </c>
      <c r="H1" s="32" t="inlineStr">
        <is>
          <t>来源</t>
        </is>
      </c>
      <c r="I1" s="32" t="inlineStr">
        <is>
          <t>核验状态</t>
        </is>
      </c>
      <c r="J1" s="32" t="inlineStr">
        <is>
          <t>备注</t>
        </is>
      </c>
    </row>
    <row r="2" ht="48.5" customHeight="1" s="17">
      <c r="A2" s="26" t="inlineStr">
        <is>
          <t>place:stb_attractions:997</t>
        </is>
      </c>
      <c r="B2" s="26" t="inlineStr">
        <is>
          <t>Gardens by the Bay</t>
        </is>
      </c>
      <c r="C2" s="29" t="inlineStr">
        <is>
          <t>Bayfront 地铁站方向入口</t>
        </is>
      </c>
      <c r="D2" s="30" t="n">
        <v>1.281941</v>
      </c>
      <c r="E2" s="30" t="n">
        <v>103.8611703</v>
      </c>
      <c r="F2" s="30" t="n"/>
      <c r="G2" s="30" t="n"/>
      <c r="H2" s="30" t="inlineStr">
        <is>
          <t>OneMap：BAYFRONT MRT STATION EXIT｜BAYFRONT MRT STATION EXIT</t>
        </is>
      </c>
      <c r="I2" s="31" t="inlineStr">
        <is>
          <t>OneMap 自动匹配</t>
        </is>
      </c>
      <c r="J2" s="31" t="inlineStr">
        <is>
          <t>距景点代表点 272 m；名称匹配度 100%</t>
        </is>
      </c>
    </row>
    <row r="3" ht="48.5" customHeight="1" s="17">
      <c r="A3" s="26" t="inlineStr">
        <is>
          <t>place:stb_attractions:997</t>
        </is>
      </c>
      <c r="B3" s="26" t="inlineStr">
        <is>
          <t>Gardens by the Bay</t>
        </is>
      </c>
      <c r="C3" s="29" t="inlineStr">
        <is>
          <t>Gardens by the Bay 地铁站（TEL）入口</t>
        </is>
      </c>
      <c r="D3" s="31" t="n">
        <v>1.2784873</v>
      </c>
      <c r="E3" s="31" t="n">
        <v>103.8674547</v>
      </c>
      <c r="F3" s="30" t="n"/>
      <c r="G3" s="30" t="n"/>
      <c r="H3" s="31" t="inlineStr">
        <is>
          <t>OneMap：GARDENS BY THE BAY MRT STATION (TE22)｜11 MARINA MALL GARDENS BY THE BAY MRT STATION (TE22) SINGAPORE 019396</t>
        </is>
      </c>
      <c r="I3" s="31" t="inlineStr">
        <is>
          <t>OneMap 自动匹配</t>
        </is>
      </c>
      <c r="J3" s="31" t="inlineStr">
        <is>
          <t>距景点代表点 579 m；名称匹配度 100%</t>
        </is>
      </c>
    </row>
    <row r="4" ht="48.5" customHeight="1" s="17">
      <c r="A4" s="26" t="inlineStr">
        <is>
          <t>place:stb_attractions:997</t>
        </is>
      </c>
      <c r="B4" s="26" t="inlineStr">
        <is>
          <t>Gardens by the Bay</t>
        </is>
      </c>
      <c r="C4" s="29" t="inlineStr">
        <is>
          <t>Satay by the Bay / 东侧入口</t>
        </is>
      </c>
      <c r="D4" s="31" t="n">
        <v>1.282343</v>
      </c>
      <c r="E4" s="31" t="n">
        <v>103.8686368</v>
      </c>
      <c r="F4" s="30" t="n"/>
      <c r="G4" s="30" t="n"/>
      <c r="H4" s="31" t="inlineStr">
        <is>
          <t>OneMap：SATAY BY THE BAY｜18 MARINA GARDENS DRIVE SATAY BY THE BAY SINGAPORE 018953</t>
        </is>
      </c>
      <c r="I4" s="31" t="inlineStr">
        <is>
          <t>OneMap 自动匹配</t>
        </is>
      </c>
      <c r="J4" s="31" t="inlineStr">
        <is>
          <t>距景点代表点 560 m；名称匹配度 100%</t>
        </is>
      </c>
    </row>
    <row r="5" ht="48.5" customHeight="1" s="17">
      <c r="A5" s="26" t="inlineStr">
        <is>
          <t>place:stb_attractions:983</t>
        </is>
      </c>
      <c r="B5" s="26" t="inlineStr">
        <is>
          <t>Marina Bay Sands SkyPark</t>
        </is>
      </c>
      <c r="C5" s="29" t="inlineStr">
        <is>
          <t>Hotel Tower 3 一楼大堂（经 Tower 3 车道），上 56 楼</t>
        </is>
      </c>
      <c r="D5" s="31" t="n"/>
      <c r="E5" s="31" t="n"/>
      <c r="F5" s="30" t="n"/>
      <c r="G5" s="30" t="n"/>
      <c r="H5" s="31" t="n"/>
      <c r="I5" s="31" t="inlineStr">
        <is>
          <t>待补充</t>
        </is>
      </c>
      <c r="J5" s="31" t="inlineStr">
        <is>
          <t>OneMap 在景点 2 km 内没有找到名称相符的结果，需手动取点</t>
        </is>
      </c>
    </row>
    <row r="6" ht="48.5" customHeight="1" s="17">
      <c r="A6" s="26" t="inlineStr">
        <is>
          <t>place:stb_attractions:1022</t>
        </is>
      </c>
      <c r="B6" s="26" t="inlineStr">
        <is>
          <t>Lau Pa Sat</t>
        </is>
      </c>
      <c r="C6" s="29" t="inlineStr">
        <is>
          <t>18 Raffles Quay</t>
        </is>
      </c>
      <c r="D6" s="31" t="n">
        <v>1.2806539</v>
      </c>
      <c r="E6" s="31" t="n">
        <v>103.8504127</v>
      </c>
      <c r="F6" s="30" t="n"/>
      <c r="G6" s="30" t="n"/>
      <c r="H6" s="31" t="inlineStr">
        <is>
          <t>OneMap：FORMER TELOK AYER MARKET (LAU PA SAT)｜18 RAFFLES QUAY FORMER TELOK AYER MARKET (LAU PA SAT)</t>
        </is>
      </c>
      <c r="I6" s="31" t="inlineStr">
        <is>
          <t>OneMap 自动匹配</t>
        </is>
      </c>
      <c r="J6" s="31" t="inlineStr">
        <is>
          <t>距景点代表点 39 m；名称匹配度 100%</t>
        </is>
      </c>
    </row>
    <row r="7" ht="48.5" customHeight="1" s="17">
      <c r="A7" s="26" t="inlineStr">
        <is>
          <t>place:stb_attractions:1051</t>
        </is>
      </c>
      <c r="B7" s="26" t="inlineStr">
        <is>
          <t>Asian Civilisations Museum</t>
        </is>
      </c>
      <c r="C7" s="29" t="inlineStr">
        <is>
          <t>Front Entrance</t>
        </is>
      </c>
      <c r="D7" s="31" t="n">
        <v>1.287441</v>
      </c>
      <c r="E7" s="31" t="n">
        <v>103.8513751</v>
      </c>
      <c r="F7" s="30" t="n"/>
      <c r="G7" s="30" t="n"/>
      <c r="H7" s="31" t="inlineStr">
        <is>
          <t>OneMap：ASIAN CIVILISATIONS MUSEUM｜1 EMPRESS PLACE ASIAN CIVILISATIONS MUSEUM SINGAPORE 179555</t>
        </is>
      </c>
      <c r="I7" s="31" t="inlineStr">
        <is>
          <t>OneMap 自动匹配</t>
        </is>
      </c>
      <c r="J7" s="31" t="inlineStr">
        <is>
          <t>距景点代表点 62 m；名称匹配度 100%</t>
        </is>
      </c>
    </row>
    <row r="8" ht="48.5" customHeight="1" s="17">
      <c r="A8" s="26" t="inlineStr">
        <is>
          <t>place:stb_attractions:1051</t>
        </is>
      </c>
      <c r="B8" s="26" t="inlineStr">
        <is>
          <t>Asian Civilisations Museum</t>
        </is>
      </c>
      <c r="C8" s="29" t="inlineStr">
        <is>
          <t>River Entrance（两处都有坡道）</t>
        </is>
      </c>
      <c r="D8" s="31" t="n">
        <v>1.287441</v>
      </c>
      <c r="E8" s="31" t="n">
        <v>103.8513751</v>
      </c>
      <c r="F8" s="30" t="n"/>
      <c r="G8" s="30" t="n"/>
      <c r="H8" s="31" t="inlineStr">
        <is>
          <t>OneMap：ASIAN CIVILISATIONS MUSEUM｜1 EMPRESS PLACE ASIAN CIVILISATIONS MUSEUM SINGAPORE 179555</t>
        </is>
      </c>
      <c r="I8" s="31" t="inlineStr">
        <is>
          <t>OneMap 自动匹配</t>
        </is>
      </c>
      <c r="J8" s="31" t="inlineStr">
        <is>
          <t>OneMap 只有整栋建筑坐标，与 Front Entrance 相同；河边入口精确位置需在地图上取</t>
        </is>
      </c>
    </row>
    <row r="9" ht="48.5" customHeight="1" s="17">
      <c r="A9" s="26" t="inlineStr">
        <is>
          <t>place:stb_attractions:1005</t>
        </is>
      </c>
      <c r="B9" s="26" t="inlineStr">
        <is>
          <t>CHIJMES</t>
        </is>
      </c>
      <c r="C9" s="29" t="inlineStr">
        <is>
          <t>30 Victoria Street</t>
        </is>
      </c>
      <c r="D9" s="31" t="n">
        <v>1.2947967</v>
      </c>
      <c r="E9" s="31" t="n">
        <v>103.8525734</v>
      </c>
      <c r="F9" s="30" t="n"/>
      <c r="G9" s="30" t="n"/>
      <c r="H9" s="31" t="inlineStr">
        <is>
          <t>OneMap：CHIJMES｜30 VICTORIA STREET CHIJMES SINGAPORE 187996</t>
        </is>
      </c>
      <c r="I9" s="31" t="inlineStr">
        <is>
          <t>OneMap 自动匹配</t>
        </is>
      </c>
      <c r="J9" s="31" t="inlineStr">
        <is>
          <t>距景点代表点 102 m；名称匹配度 100%</t>
        </is>
      </c>
    </row>
    <row r="10" ht="48.5" customHeight="1" s="17">
      <c r="A10" s="26" t="inlineStr">
        <is>
          <t>place:stb_attractions:977</t>
        </is>
      </c>
      <c r="B10" s="26" t="inlineStr">
        <is>
          <t>Buddha Tooth Relic Temple</t>
        </is>
      </c>
      <c r="C10" s="29" t="inlineStr">
        <is>
          <t>288 South Bridge Road 正门</t>
        </is>
      </c>
      <c r="D10" s="31" t="n">
        <v>1.281499</v>
      </c>
      <c r="E10" s="31" t="n">
        <v>103.8442503</v>
      </c>
      <c r="F10" s="30" t="n"/>
      <c r="G10" s="30" t="n"/>
      <c r="H10" s="31" t="inlineStr">
        <is>
          <t>OneMap：BUDDHA TOOTH RELIC TEMPLE AND MUSEUM｜288 SOUTH BRIDGE ROAD BUDDHA TOOTH RELIC TEMPLE AND MUSEUM</t>
        </is>
      </c>
      <c r="I10" s="31" t="inlineStr">
        <is>
          <t>OneMap 自动匹配</t>
        </is>
      </c>
      <c r="J10" s="31" t="inlineStr">
        <is>
          <t>距景点代表点 58 m；名称匹配度 100%</t>
        </is>
      </c>
    </row>
    <row r="11" ht="48.5" customHeight="1" s="17">
      <c r="A11" s="26" t="inlineStr">
        <is>
          <t>place:stb_attractions:961</t>
        </is>
      </c>
      <c r="B11" s="26" t="inlineStr">
        <is>
          <t>Universal Studios Singapore</t>
        </is>
      </c>
      <c r="C11" s="29" t="inlineStr">
        <is>
          <t>8 Sentosa Gateway（Resorts World Sentosa）</t>
        </is>
      </c>
      <c r="D11" s="31" t="n">
        <v>1.2561209</v>
      </c>
      <c r="E11" s="31" t="n">
        <v>103.8225373</v>
      </c>
      <c r="F11" s="30" t="n"/>
      <c r="G11" s="30" t="n"/>
      <c r="H11" s="31" t="inlineStr">
        <is>
          <t>OneMap：UNIVERSAL STUDIOS SINGAPORE｜30 SENTOSA GATEWAY UNIVERSAL STUDIOS SINGAPORE SINGAPORE 098140</t>
        </is>
      </c>
      <c r="I11" s="31" t="inlineStr">
        <is>
          <t>OneMap 自动匹配</t>
        </is>
      </c>
      <c r="J11" s="31" t="inlineStr">
        <is>
          <t>距景点代表点 275 m；名称匹配度 100%</t>
        </is>
      </c>
    </row>
    <row r="12" ht="48.5" customHeight="1" s="17">
      <c r="A12" s="26" t="inlineStr">
        <is>
          <t>place:stb_attractions:987</t>
        </is>
      </c>
      <c r="B12" s="26" t="inlineStr">
        <is>
          <t>S.E.A. Aquarium → Singapore Oceanarium</t>
        </is>
      </c>
      <c r="C12" s="29" t="inlineStr">
        <is>
          <t>24 Sentosa Gateway（Resorts World Sentosa）</t>
        </is>
      </c>
      <c r="D12" s="31" t="n">
        <v>1.2583602</v>
      </c>
      <c r="E12" s="31" t="n">
        <v>103.8205073</v>
      </c>
      <c r="F12" s="30" t="n"/>
      <c r="G12" s="30" t="n"/>
      <c r="H12" s="31" t="inlineStr">
        <is>
          <t>OneMap：SINGAPORE OCEANARIUM｜24 SENTOSA GATEWAY SINGAPORE OCEANARIUM SINGAPORE 098137</t>
        </is>
      </c>
      <c r="I12" s="31" t="inlineStr">
        <is>
          <t>OneMap 自动匹配</t>
        </is>
      </c>
      <c r="J12" s="31" t="inlineStr">
        <is>
          <t>距景点代表点 189 m；名称匹配度 100%</t>
        </is>
      </c>
    </row>
    <row r="13" ht="48.5" customHeight="1" s="17">
      <c r="A13" s="26" t="inlineStr">
        <is>
          <t>place:stb_attractions:991</t>
        </is>
      </c>
      <c r="B13" s="26" t="inlineStr">
        <is>
          <t>Cable Car &amp; Mount Faber</t>
        </is>
      </c>
      <c r="C13" s="29" t="inlineStr">
        <is>
          <t>Mount Faber 站</t>
        </is>
      </c>
      <c r="D13" s="31" t="n">
        <v>1.2710912</v>
      </c>
      <c r="E13" s="31" t="n">
        <v>103.8197684</v>
      </c>
      <c r="F13" s="30" t="n"/>
      <c r="G13" s="30" t="n"/>
      <c r="H13" s="31" t="inlineStr">
        <is>
          <t>OneMap：MOUNT FABER PEAK｜109 MOUNT FABER ROAD MOUNT FABER PEAK SINGAPORE 099203</t>
        </is>
      </c>
      <c r="I13" s="31" t="inlineStr">
        <is>
          <t>OneMap 自动匹配</t>
        </is>
      </c>
      <c r="J13" s="31" t="inlineStr">
        <is>
          <t>距景点代表点 63 m；名称匹配度 100%</t>
        </is>
      </c>
    </row>
    <row r="14" ht="48.5" customHeight="1" s="17">
      <c r="A14" s="26" t="inlineStr">
        <is>
          <t>place:stb_attractions:991</t>
        </is>
      </c>
      <c r="B14" s="26" t="inlineStr">
        <is>
          <t>Cable Car &amp; Mount Faber</t>
        </is>
      </c>
      <c r="C14" s="29" t="inlineStr">
        <is>
          <t>HarbourFront 站</t>
        </is>
      </c>
      <c r="D14" s="31" t="n">
        <v>1.2644861</v>
      </c>
      <c r="E14" s="31" t="n">
        <v>103.8186869</v>
      </c>
      <c r="F14" s="30" t="n"/>
      <c r="G14" s="30" t="n"/>
      <c r="H14" s="31" t="inlineStr">
        <is>
          <t>OneMap：HARBOURFRONT TOWER TWO｜3 HARBOURFRONT PLACE HARBOURFRONT TOWER TWO SINGAPORE 099254</t>
        </is>
      </c>
      <c r="I14" s="31" t="inlineStr">
        <is>
          <t>OneMap 自动匹配</t>
        </is>
      </c>
      <c r="J14" s="31" t="inlineStr">
        <is>
          <t>距景点代表点 727 m；名称匹配度 100%</t>
        </is>
      </c>
    </row>
    <row r="15" ht="48.5" customHeight="1" s="17">
      <c r="A15" s="26" t="inlineStr">
        <is>
          <t>place:stb_attractions:991</t>
        </is>
      </c>
      <c r="B15" s="26" t="inlineStr">
        <is>
          <t>Cable Car &amp; Mount Faber</t>
        </is>
      </c>
      <c r="C15" s="29" t="inlineStr">
        <is>
          <t>Sentosa 站</t>
        </is>
      </c>
      <c r="D15" s="31" t="n">
        <v>1.2558342</v>
      </c>
      <c r="E15" s="31" t="n">
        <v>103.8165302</v>
      </c>
      <c r="F15" s="30" t="n"/>
      <c r="G15" s="30" t="n"/>
      <c r="H15" s="31" t="inlineStr">
        <is>
          <t>OneMap：IMBIAH TRAIL (IMBIAH LOOKOUT)</t>
        </is>
      </c>
      <c r="I15" s="31" t="inlineStr">
        <is>
          <t>OneMap 自动匹配</t>
        </is>
      </c>
      <c r="J15" s="31" t="inlineStr">
        <is>
          <t>Claude 改选：缆车 Sentosa 站位于 Imbiah Lookout；坐标为该区域点，非站台精确位置</t>
        </is>
      </c>
    </row>
    <row r="16" ht="48.5" customHeight="1" s="17">
      <c r="A16" s="26" t="inlineStr">
        <is>
          <t>place:stb_attractions:989</t>
        </is>
      </c>
      <c r="B16" s="26" t="inlineStr">
        <is>
          <t>Singapore Zoo</t>
        </is>
      </c>
      <c r="C16" s="29" t="inlineStr">
        <is>
          <t>Singapore Zoo 主入口（Mandai 入口广场）</t>
        </is>
      </c>
      <c r="D16" s="31" t="n">
        <v>1.4055944</v>
      </c>
      <c r="E16" s="31" t="n">
        <v>103.7895983</v>
      </c>
      <c r="F16" s="30" t="n"/>
      <c r="G16" s="30" t="n"/>
      <c r="H16" s="31" t="inlineStr">
        <is>
          <t>OneMap：SINGAPORE ZOO｜80 MANDAI LAKE ROAD SINGAPORE ZOO SINGAPORE 729826</t>
        </is>
      </c>
      <c r="I16" s="31" t="inlineStr">
        <is>
          <t>OneMap 自动匹配</t>
        </is>
      </c>
      <c r="J16" s="31" t="inlineStr">
        <is>
          <t>Claude 从 OneMap 候选中改选（原自动匹配为饲养设施）</t>
        </is>
      </c>
    </row>
    <row r="17" ht="48.5" customHeight="1" s="17">
      <c r="A17" s="26" t="inlineStr">
        <is>
          <t>place:stb_attractions:992</t>
        </is>
      </c>
      <c r="B17" s="26" t="inlineStr">
        <is>
          <t>Night Safari</t>
        </is>
      </c>
      <c r="C17" s="29" t="inlineStr">
        <is>
          <t>Night Safari 入口（Mandai 入口广场）</t>
        </is>
      </c>
      <c r="D17" s="31" t="n">
        <v>1.4016327</v>
      </c>
      <c r="E17" s="31" t="n">
        <v>103.7843353</v>
      </c>
      <c r="F17" s="30" t="n"/>
      <c r="G17" s="30" t="n"/>
      <c r="H17" s="31" t="inlineStr">
        <is>
          <t>OneMap：NIGHT SAFARI｜80 MANDAI LAKE ROAD NIGHT SAFARI SINGAPORE 729826</t>
        </is>
      </c>
      <c r="I17" s="31" t="inlineStr">
        <is>
          <t>OneMap 自动匹配</t>
        </is>
      </c>
      <c r="J17" s="31" t="inlineStr">
        <is>
          <t>距景点代表点 416 m；名称匹配度 100%</t>
        </is>
      </c>
    </row>
    <row r="18" ht="48.5" customHeight="1" s="17">
      <c r="A18" s="26" t="inlineStr">
        <is>
          <t>place:overture_places:eb4ed8cd-3059-4abe-8e2f-6704c7b2c6c4</t>
        </is>
      </c>
      <c r="B18" s="26" t="inlineStr">
        <is>
          <t>River Wonders</t>
        </is>
      </c>
      <c r="C18" s="29" t="inlineStr">
        <is>
          <t>River Wonders 入口（Mandai 入口广场）</t>
        </is>
      </c>
      <c r="D18" s="31" t="n">
        <v>1.4036617</v>
      </c>
      <c r="E18" s="31" t="n">
        <v>103.7924612</v>
      </c>
      <c r="F18" s="30" t="n"/>
      <c r="G18" s="30" t="n"/>
      <c r="H18" s="31" t="inlineStr">
        <is>
          <t>OneMap：RIVER WONDERS｜80 MANDAI LAKE ROAD RIVER WONDERS SINGAPORE 729826</t>
        </is>
      </c>
      <c r="I18" s="31" t="inlineStr">
        <is>
          <t>OneMap 自动匹配</t>
        </is>
      </c>
      <c r="J18" s="31" t="inlineStr">
        <is>
          <t>距景点代表点 199 m；名称匹配度 100%</t>
        </is>
      </c>
    </row>
    <row r="19" ht="48.5" customHeight="1" s="17">
      <c r="A19" s="26" t="inlineStr">
        <is>
          <t>place:overture_places:29a9a8c1-2900-4b6e-88d3-ca06de7d7317</t>
        </is>
      </c>
      <c r="B19" s="26" t="inlineStr">
        <is>
          <t>Bird Paradise</t>
        </is>
      </c>
      <c r="C19" s="29" t="inlineStr">
        <is>
          <t>Bird Paradise 入口（20 Mandai Lake Rd）</t>
        </is>
      </c>
      <c r="D19" s="31" t="n">
        <v>1.4047122</v>
      </c>
      <c r="E19" s="31" t="n">
        <v>103.7798111</v>
      </c>
      <c r="F19" s="30" t="n"/>
      <c r="G19" s="30" t="n"/>
      <c r="H19" s="31" t="inlineStr">
        <is>
          <t>OneMap：BIRD PARADISE｜30 MANDAI LAKE ROAD BIRD PARADISE SINGAPORE 729829</t>
        </is>
      </c>
      <c r="I19" s="31" t="inlineStr">
        <is>
          <t>OneMap 自动匹配</t>
        </is>
      </c>
      <c r="J19" s="31" t="inlineStr">
        <is>
          <t>距景点代表点 316 m；名称匹配度 100%</t>
        </is>
      </c>
    </row>
    <row r="20" ht="48.5" customHeight="1" s="17">
      <c r="A20" s="26" t="inlineStr">
        <is>
          <t>place:stb_attractions:988</t>
        </is>
      </c>
      <c r="B20" s="26" t="inlineStr">
        <is>
          <t>Singapore Botanic Gardens</t>
        </is>
      </c>
      <c r="C20" s="29" t="inlineStr">
        <is>
          <t>Tanglin Gate</t>
        </is>
      </c>
      <c r="D20" s="31" t="n">
        <v>1.3071266</v>
      </c>
      <c r="E20" s="31" t="n">
        <v>103.8185185</v>
      </c>
      <c r="F20" s="30" t="n"/>
      <c r="G20" s="30" t="n"/>
      <c r="H20" s="31" t="inlineStr">
        <is>
          <t>OneMap：TANGLIN GATE｜TANGLIN GATE</t>
        </is>
      </c>
      <c r="I20" s="31" t="inlineStr">
        <is>
          <t>OneMap 自动匹配</t>
        </is>
      </c>
      <c r="J20" s="31" t="inlineStr">
        <is>
          <t>距景点代表点 817 m；名称匹配度 100%</t>
        </is>
      </c>
    </row>
    <row r="21" ht="48.5" customHeight="1" s="17">
      <c r="A21" s="26" t="inlineStr">
        <is>
          <t>place:stb_attractions:988</t>
        </is>
      </c>
      <c r="B21" s="26" t="inlineStr">
        <is>
          <t>Singapore Botanic Gardens</t>
        </is>
      </c>
      <c r="C21" s="29" t="inlineStr">
        <is>
          <t>Bukit Timah Gate（近 Botanic Gardens 地铁站）</t>
        </is>
      </c>
      <c r="D21" s="31" t="n">
        <v>1.3221137</v>
      </c>
      <c r="E21" s="31" t="n">
        <v>103.8149845</v>
      </c>
      <c r="F21" s="30" t="n"/>
      <c r="G21" s="30" t="n"/>
      <c r="H21" s="31" t="inlineStr">
        <is>
          <t>OneMap：BOTANIC GARDENS MRT STATION (CC19)｜100 CLUNY PARK ROAD BOTANIC GARDENS MRT STATION (CC19) SINGAPORE 257494</t>
        </is>
      </c>
      <c r="I21" s="31" t="inlineStr">
        <is>
          <t>OneMap 自动匹配</t>
        </is>
      </c>
      <c r="J21" s="31" t="inlineStr">
        <is>
          <t>距景点代表点 908 m；名称匹配度 100%</t>
        </is>
      </c>
    </row>
    <row r="22" ht="48.5" customHeight="1" s="17">
      <c r="A22" s="26" t="inlineStr">
        <is>
          <t>place:stb_attractions:988</t>
        </is>
      </c>
      <c r="B22" s="26" t="inlineStr">
        <is>
          <t>Singapore Botanic Gardens</t>
        </is>
      </c>
      <c r="C22" s="29" t="inlineStr">
        <is>
          <t>Nassim Gate</t>
        </is>
      </c>
      <c r="D22" s="31" t="n"/>
      <c r="E22" s="31" t="n"/>
      <c r="F22" s="30" t="n"/>
      <c r="G22" s="30" t="n"/>
      <c r="H22" s="31" t="n"/>
      <c r="I22" s="31" t="inlineStr">
        <is>
          <t>待补充</t>
        </is>
      </c>
      <c r="J22" s="31" t="inlineStr">
        <is>
          <t>OneMap 在景点 2 km 内没有找到名称相符的结果，需手动取点</t>
        </is>
      </c>
    </row>
    <row r="23" ht="48.5" customHeight="1" s="17">
      <c r="A23" s="26" t="inlineStr">
        <is>
          <t>place:stb_attractions:988</t>
        </is>
      </c>
      <c r="B23" s="26" t="inlineStr">
        <is>
          <t>Singapore Botanic Gardens</t>
        </is>
      </c>
      <c r="C23" s="29" t="inlineStr">
        <is>
          <t>Gallop Gate</t>
        </is>
      </c>
      <c r="D23" s="31" t="n">
        <v>1.3119095</v>
      </c>
      <c r="E23" s="31" t="n">
        <v>103.8123221</v>
      </c>
      <c r="F23" s="30" t="n"/>
      <c r="G23" s="30" t="n"/>
      <c r="H23" s="31" t="inlineStr">
        <is>
          <t>OneMap：GALLOP GATE｜GALLOP GATE</t>
        </is>
      </c>
      <c r="I23" s="31" t="inlineStr">
        <is>
          <t>OneMap 自动匹配</t>
        </is>
      </c>
      <c r="J23" s="31" t="inlineStr">
        <is>
          <t>距景点代表点 462 m；名称匹配度 100%</t>
        </is>
      </c>
    </row>
    <row r="24" ht="48.5" customHeight="1" s="17">
      <c r="A24" s="26" t="inlineStr">
        <is>
          <t>place:nparks_parks:120361</t>
        </is>
      </c>
      <c r="B24" s="26" t="inlineStr">
        <is>
          <t>Bukit Timah Nature Reserve</t>
        </is>
      </c>
      <c r="C24" s="29" t="inlineStr">
        <is>
          <t>Bukit Timah Nature Reserve Visitor Centre（Hindhede Drive 尽头）</t>
        </is>
      </c>
      <c r="D24" s="31" t="n">
        <v>1.3483245</v>
      </c>
      <c r="E24" s="31" t="n">
        <v>103.7766495</v>
      </c>
      <c r="F24" s="30" t="n"/>
      <c r="G24" s="30" t="n"/>
      <c r="H24" s="30" t="inlineStr">
        <is>
          <t>Overture：Bukit Timah Nature Reserve Visitor Centre</t>
        </is>
      </c>
      <c r="I24" s="31" t="inlineStr">
        <is>
          <t>资料核对（Claude）</t>
        </is>
      </c>
      <c r="J24" s="31" t="inlineStr">
        <is>
          <t>坐标来自 Overture，建议在地图上看一眼</t>
        </is>
      </c>
    </row>
    <row r="25" ht="48.5" customHeight="1" s="17">
      <c r="A25" s="26" t="inlineStr">
        <is>
          <t>place:nparks_parks:120437</t>
        </is>
      </c>
      <c r="B25" s="26" t="inlineStr">
        <is>
          <t>Sungei Buloh Wetland Reserve</t>
        </is>
      </c>
      <c r="C25" s="29" t="inlineStr">
        <is>
          <t>Visitor Centre（60 Kranji Way）</t>
        </is>
      </c>
      <c r="D25" s="31" t="n">
        <v>1.4402962</v>
      </c>
      <c r="E25" s="31" t="n">
        <v>103.7351379</v>
      </c>
      <c r="F25" s="30" t="n"/>
      <c r="G25" s="30" t="n"/>
      <c r="H25" s="30" t="inlineStr">
        <is>
          <t>Overture：Sungei Buloh Wetland Reserve Visitor Centre</t>
        </is>
      </c>
      <c r="I25" s="31" t="inlineStr">
        <is>
          <t>资料核对（Claude）</t>
        </is>
      </c>
      <c r="J25" s="31" t="inlineStr">
        <is>
          <t>坐标来自 Overture，建议在地图上看一眼</t>
        </is>
      </c>
    </row>
    <row r="26" ht="48.5" customHeight="1" s="17">
      <c r="A26" s="26" t="inlineStr">
        <is>
          <t>place:nparks_parks:120437</t>
        </is>
      </c>
      <c r="B26" s="26" t="inlineStr">
        <is>
          <t>Sungei Buloh Wetland Reserve</t>
        </is>
      </c>
      <c r="C26" s="29" t="inlineStr">
        <is>
          <t>Wetland Centre</t>
        </is>
      </c>
      <c r="D26" s="31" t="n">
        <v>1.4461167</v>
      </c>
      <c r="E26" s="31" t="n">
        <v>103.728932</v>
      </c>
      <c r="F26" s="30" t="n"/>
      <c r="G26" s="30" t="n"/>
      <c r="H26" s="31" t="inlineStr">
        <is>
          <t>OneMap：SUNGEI BULOH WETLAND RESERVE (RESEARCH AND EDUCATION CENTRE)｜301 NEO TIEW CRESCENT SUNGEI BULOH WETLAND RESERVE (RESEARCH AND EDUCATION CENTRE) SINGAPORE 718925</t>
        </is>
      </c>
      <c r="I26" s="31" t="inlineStr">
        <is>
          <t>OneMap 自动匹配</t>
        </is>
      </c>
      <c r="J26" s="31" t="inlineStr">
        <is>
          <t>距景点代表点 514 m；名称匹配度 100%</t>
        </is>
      </c>
    </row>
    <row r="27" ht="48.5" customHeight="1" s="17">
      <c r="A27" s="26" t="inlineStr">
        <is>
          <t>place:stb_attractions:993</t>
        </is>
      </c>
      <c r="B27" s="26" t="inlineStr">
        <is>
          <t>Pulau Ubin / Chek Jawa</t>
        </is>
      </c>
      <c r="C27" s="29" t="inlineStr">
        <is>
          <t>Changi Point Ferry Terminal（乘小船上岛）</t>
        </is>
      </c>
      <c r="D27" s="31" t="n">
        <v>1.390865</v>
      </c>
      <c r="E27" s="31" t="n">
        <v>103.987584</v>
      </c>
      <c r="F27" s="30" t="n"/>
      <c r="G27" s="30" t="n"/>
      <c r="H27" s="31" t="inlineStr">
        <is>
          <t>OneMap：CHANGI POINT FERRY TERMINAL｜51 LORONG BEKUKONG</t>
        </is>
      </c>
      <c r="I27" s="31" t="inlineStr">
        <is>
          <t>OneMap 自动匹配</t>
        </is>
      </c>
      <c r="J27" s="31" t="inlineStr">
        <is>
          <t>码头在本岛，乘小船上乌敏岛</t>
        </is>
      </c>
    </row>
    <row r="28" ht="48.5" customHeight="1" s="17">
      <c r="A28" s="26" t="inlineStr">
        <is>
          <t>place:overture_places:5e1391f8-411f-4544-af2a-9094302fdfad</t>
        </is>
      </c>
      <c r="B28" s="26" t="inlineStr">
        <is>
          <t>Jewel Changi Airport</t>
        </is>
      </c>
      <c r="C28" s="29" t="inlineStr">
        <is>
          <t>78 Airport Boulevard</t>
        </is>
      </c>
      <c r="D28" s="31" t="n">
        <v>1.360341</v>
      </c>
      <c r="E28" s="31" t="n">
        <v>103.9890776</v>
      </c>
      <c r="F28" s="30" t="n"/>
      <c r="G28" s="30" t="n"/>
      <c r="H28" s="31" t="inlineStr">
        <is>
          <t>OneMap：JEWEL CHANGI AIRPORT｜78 AIRPORT BOULEVARD JEWEL CHANGI AIRPORT SINGAPORE 819666</t>
        </is>
      </c>
      <c r="I28" s="31" t="inlineStr">
        <is>
          <t>OneMap 自动匹配</t>
        </is>
      </c>
      <c r="J28" s="31" t="inlineStr">
        <is>
          <t>距景点代表点 82 m；名称匹配度 100%</t>
        </is>
      </c>
    </row>
    <row r="29" ht="48.5" customHeight="1" s="17">
      <c r="A29" s="26" t="inlineStr">
        <is>
          <t>place:nparks_parks:120361</t>
        </is>
      </c>
      <c r="B29" s="26" t="inlineStr">
        <is>
          <t>Bukit Timah Nature Reserve</t>
        </is>
      </c>
      <c r="C29" s="29" t="inlineStr">
        <is>
          <t>Hindhede Entrance</t>
        </is>
      </c>
      <c r="D29" s="31" t="n">
        <v>1.3465243</v>
      </c>
      <c r="E29" s="31" t="n">
        <v>103.7760086</v>
      </c>
      <c r="F29" s="30" t="n"/>
      <c r="G29" s="30" t="n"/>
      <c r="H29" s="30" t="inlineStr">
        <is>
          <t>Overture：Hindhede Entrance</t>
        </is>
      </c>
      <c r="I29" s="31" t="inlineStr">
        <is>
          <t>资料核对（Claude）</t>
        </is>
      </c>
      <c r="J29" s="31" t="inlineStr">
        <is>
          <t>坐标来自 Overture，建议在地图上看一眼</t>
        </is>
      </c>
    </row>
    <row r="30">
      <c r="A30" s="33" t="inlineStr">
        <is>
          <t>place:stb_attractions:982</t>
        </is>
      </c>
      <c r="B30" s="33" t="inlineStr">
        <is>
          <t>Merlion Park</t>
        </is>
      </c>
      <c r="C30" s="34" t="inlineStr">
        <is>
          <t>Merlion Park</t>
        </is>
      </c>
      <c r="D30" s="35" t="n">
        <v>1.2868108</v>
      </c>
      <c r="E30" s="35" t="n">
        <v>103.8545349</v>
      </c>
      <c r="F30" s="35" t="inlineStr">
        <is>
          <t>主入口</t>
        </is>
      </c>
      <c r="G30" s="35" t="n"/>
      <c r="H30" s="35" t="inlineStr">
        <is>
          <t>OneMap：MERLION PARK (ONE FULLERTON)｜21 ESPLANADE DRIVE MERLION PARK (ONE FULLERTON)</t>
        </is>
      </c>
      <c r="I30" s="35" t="inlineStr">
        <is>
          <t>OneMap 自动匹配</t>
        </is>
      </c>
      <c r="J30" s="35" t="inlineStr">
        <is>
          <t>距景点代表点 21 m；名称匹配度 100%</t>
        </is>
      </c>
    </row>
    <row r="31">
      <c r="A31" s="33" t="inlineStr">
        <is>
          <t>place:stb_attractions:1027</t>
        </is>
      </c>
      <c r="B31" s="33" t="inlineStr">
        <is>
          <t>ArtScience Museum</t>
        </is>
      </c>
      <c r="C31" s="34" t="inlineStr">
        <is>
          <t>ArtScience Museum 建筑位置（非精确门口）</t>
        </is>
      </c>
      <c r="D31" s="35" t="n">
        <v>1.286224</v>
      </c>
      <c r="E31" s="35" t="n">
        <v>103.8592711</v>
      </c>
      <c r="F31" s="35" t="inlineStr">
        <is>
          <t>主入口</t>
        </is>
      </c>
      <c r="G31" s="35" t="n"/>
      <c r="H31" s="35" t="inlineStr">
        <is>
          <t>OneMap：MARINA BAY SANDS (ARTSCIENCE MUSEUM)｜6 BAYFRONT AVENUE MARINA BAY SANDS (ARTSCIENCE MUSEUM) SINGAPORE 018974</t>
        </is>
      </c>
      <c r="I31" s="35" t="inlineStr">
        <is>
          <t>OneMap 自动匹配</t>
        </is>
      </c>
      <c r="J31" s="35" t="inlineStr">
        <is>
          <t>距景点代表点 25 m；名称匹配度 100%；OneMap 给的是建筑位置，不是精确门口</t>
        </is>
      </c>
    </row>
    <row r="32">
      <c r="A32" s="33" t="inlineStr">
        <is>
          <t>place:stb_attractions:1031</t>
        </is>
      </c>
      <c r="B32" s="33" t="inlineStr">
        <is>
          <t>Singapore Flyer</t>
        </is>
      </c>
      <c r="C32" s="34" t="inlineStr">
        <is>
          <t>Singapore Flyer 建筑位置（非精确门口）</t>
        </is>
      </c>
      <c r="D32" s="35" t="n">
        <v>1.2890727</v>
      </c>
      <c r="E32" s="35" t="n">
        <v>103.8629223</v>
      </c>
      <c r="F32" s="35" t="inlineStr">
        <is>
          <t>主入口</t>
        </is>
      </c>
      <c r="G32" s="35" t="n"/>
      <c r="H32" s="35" t="inlineStr">
        <is>
          <t>OneMap：SINGAPORE FLYER｜30 RAFFLES AVENUE SINGAPORE FLYER SINGAPORE 039803</t>
        </is>
      </c>
      <c r="I32" s="35" t="inlineStr">
        <is>
          <t>OneMap 自动匹配</t>
        </is>
      </c>
      <c r="J32" s="35" t="inlineStr">
        <is>
          <t>距景点代表点 25 m；名称匹配度 100%；OneMap 给的是建筑位置，不是精确门口</t>
        </is>
      </c>
    </row>
    <row r="33">
      <c r="A33" s="33" t="inlineStr">
        <is>
          <t>place:stb_attractions:1046</t>
        </is>
      </c>
      <c r="B33" s="33" t="inlineStr">
        <is>
          <t>Esplanade Theatres on the Bay</t>
        </is>
      </c>
      <c r="C33" s="34" t="inlineStr">
        <is>
          <t>Esplanade 建筑位置（非精确门口）</t>
        </is>
      </c>
      <c r="D33" s="35" t="n">
        <v>1.290205</v>
      </c>
      <c r="E33" s="35" t="n">
        <v>103.8555667</v>
      </c>
      <c r="F33" s="35" t="inlineStr">
        <is>
          <t>主入口</t>
        </is>
      </c>
      <c r="G33" s="35" t="n"/>
      <c r="H33" s="35" t="inlineStr">
        <is>
          <t>OneMap：ESPLANADE - THEATRES ON THE BAY｜1 ESPLANADE DRIVE ESPLANADE - THEATRES ON THE BAY SINGAPORE 038981</t>
        </is>
      </c>
      <c r="I33" s="35" t="inlineStr">
        <is>
          <t>OneMap 自动匹配</t>
        </is>
      </c>
      <c r="J33" s="35" t="inlineStr">
        <is>
          <t>距景点代表点 39 m；名称匹配度 100%；OneMap 给的是建筑位置，不是精确门口</t>
        </is>
      </c>
    </row>
    <row r="34">
      <c r="A34" s="33" t="inlineStr">
        <is>
          <t>place:stb_attractions:1046</t>
        </is>
      </c>
      <c r="B34" s="33" t="inlineStr">
        <is>
          <t>Esplanade Theatres on the Bay</t>
        </is>
      </c>
      <c r="C34" s="34" t="inlineStr">
        <is>
          <t>Esplanade 地铁站</t>
        </is>
      </c>
      <c r="D34" s="35" t="n">
        <v>1.2913149</v>
      </c>
      <c r="E34" s="35" t="n">
        <v>103.8551926</v>
      </c>
      <c r="F34" s="35" t="inlineStr">
        <is>
          <t>地铁/公交方向</t>
        </is>
      </c>
      <c r="G34" s="35" t="n"/>
      <c r="H34" s="35" t="inlineStr">
        <is>
          <t>OneMap：CITY HALL/ESPLANADE MRT STATION EXIT C｜CITY HALL/ESPLANADE MRT STATION EXIT C</t>
        </is>
      </c>
      <c r="I34" s="35" t="inlineStr">
        <is>
          <t>OneMap 自动匹配</t>
        </is>
      </c>
      <c r="J34" s="35" t="inlineStr">
        <is>
          <t>距景点代表点 147 m；名称匹配度 100%</t>
        </is>
      </c>
    </row>
    <row r="35">
      <c r="A35" s="33" t="inlineStr">
        <is>
          <t>place:stb_attractions:1033</t>
        </is>
      </c>
      <c r="B35" s="33" t="inlineStr">
        <is>
          <t>Marina Barrage</t>
        </is>
      </c>
      <c r="C35" s="34" t="inlineStr">
        <is>
          <t>Marina Barrage 建筑位置（非精确门口）</t>
        </is>
      </c>
      <c r="D35" s="35" t="n">
        <v>1.2799057</v>
      </c>
      <c r="E35" s="35" t="n">
        <v>103.8704696</v>
      </c>
      <c r="F35" s="35" t="inlineStr">
        <is>
          <t>主入口</t>
        </is>
      </c>
      <c r="G35" s="35" t="n"/>
      <c r="H35" s="35" t="inlineStr">
        <is>
          <t>OneMap：MARINA BARRAGE｜8 MARINA GARDENS DRIVE MARINA BARRAGE SINGAPORE 018951</t>
        </is>
      </c>
      <c r="I35" s="35" t="inlineStr">
        <is>
          <t>OneMap 自动匹配</t>
        </is>
      </c>
      <c r="J35" s="35" t="inlineStr">
        <is>
          <t>距景点代表点 174 m；名称匹配度 100%；OneMap 给的是建筑位置，不是精确门口</t>
        </is>
      </c>
    </row>
    <row r="36">
      <c r="A36" s="33" t="inlineStr">
        <is>
          <t>place:stb_attractions:1001</t>
        </is>
      </c>
      <c r="B36" s="33" t="inlineStr">
        <is>
          <t>National Gallery Singapore</t>
        </is>
      </c>
      <c r="C36" s="34" t="inlineStr">
        <is>
          <t>National Gallery 建筑位置（非精确门口）</t>
        </is>
      </c>
      <c r="D36" s="35" t="n">
        <v>1.2906553</v>
      </c>
      <c r="E36" s="35" t="n">
        <v>103.851708</v>
      </c>
      <c r="F36" s="35" t="inlineStr">
        <is>
          <t>主入口</t>
        </is>
      </c>
      <c r="G36" s="35" t="n"/>
      <c r="H36" s="35" t="inlineStr">
        <is>
          <t>OneMap：NATIONAL GALLERY SINGAPORE｜1 SAINT ANDREW'S ROAD NATIONAL GALLERY SINGAPORE SINGAPORE 178957</t>
        </is>
      </c>
      <c r="I36" s="35" t="inlineStr">
        <is>
          <t>OneMap 自动匹配</t>
        </is>
      </c>
      <c r="J36" s="35" t="inlineStr">
        <is>
          <t>距景点代表点 83 m；名称匹配度 100%；OneMap 给的是建筑位置，不是精确门口</t>
        </is>
      </c>
    </row>
    <row r="37">
      <c r="A37" s="33" t="inlineStr">
        <is>
          <t>place:stb_attractions:1052</t>
        </is>
      </c>
      <c r="B37" s="33" t="inlineStr">
        <is>
          <t>National Museum of Singapore</t>
        </is>
      </c>
      <c r="C37" s="34" t="inlineStr">
        <is>
          <t>National Museum 建筑位置（非精确门口）</t>
        </is>
      </c>
      <c r="D37" s="35" t="n">
        <v>1.2966955</v>
      </c>
      <c r="E37" s="35" t="n">
        <v>103.8485484</v>
      </c>
      <c r="F37" s="35" t="inlineStr">
        <is>
          <t>主入口</t>
        </is>
      </c>
      <c r="G37" s="35" t="n"/>
      <c r="H37" s="35" t="inlineStr">
        <is>
          <t>OneMap：NATIONAL MUSEUM OF SINGAPORE BOARD｜93 STAMFORD ROAD NATIONAL MUSEUM OF SINGAPORE BOARD</t>
        </is>
      </c>
      <c r="I37" s="35" t="inlineStr">
        <is>
          <t>OneMap 自动匹配</t>
        </is>
      </c>
      <c r="J37" s="35" t="inlineStr">
        <is>
          <t>距景点代表点 46 m；名称匹配度 100%；OneMap 给的是建筑位置，不是精确门口</t>
        </is>
      </c>
    </row>
    <row r="38">
      <c r="A38" s="33" t="inlineStr">
        <is>
          <t>place:nparks_parks:120073</t>
        </is>
      </c>
      <c r="B38" s="33" t="inlineStr">
        <is>
          <t>Fort Canning Park</t>
        </is>
      </c>
      <c r="C38" s="34" t="inlineStr">
        <is>
          <t>Fort Canning Park</t>
        </is>
      </c>
      <c r="D38" s="35" t="n">
        <v>1.2949216</v>
      </c>
      <c r="E38" s="35" t="n">
        <v>103.8463818</v>
      </c>
      <c r="F38" s="35" t="inlineStr">
        <is>
          <t>主入口</t>
        </is>
      </c>
      <c r="G38" s="35" t="n"/>
      <c r="H38" s="35" t="inlineStr">
        <is>
          <t>OneMap：FORT CANNING PARK｜COX TERRACE FORT CANNING PARK</t>
        </is>
      </c>
      <c r="I38" s="35" t="inlineStr">
        <is>
          <t>OneMap 自动匹配</t>
        </is>
      </c>
      <c r="J38" s="35" t="inlineStr">
        <is>
          <t>距景点代表点 111 m；名称匹配度 100%</t>
        </is>
      </c>
    </row>
    <row r="39">
      <c r="A39" s="33" t="inlineStr">
        <is>
          <t>place:nparks_parks:120073</t>
        </is>
      </c>
      <c r="B39" s="33" t="inlineStr">
        <is>
          <t>Fort Canning Park</t>
        </is>
      </c>
      <c r="C39" s="34" t="inlineStr">
        <is>
          <t>Fort Canning 地铁站</t>
        </is>
      </c>
      <c r="D39" s="35" t="n">
        <v>1.2928056</v>
      </c>
      <c r="E39" s="35" t="n">
        <v>103.8444151</v>
      </c>
      <c r="F39" s="35" t="inlineStr">
        <is>
          <t>地铁/公交方向</t>
        </is>
      </c>
      <c r="G39" s="35" t="n"/>
      <c r="H39" s="35" t="inlineStr">
        <is>
          <t>OneMap：FORT CANNING MRT STATION EXIT B｜FORT CANNING MRT STATION EXIT B</t>
        </is>
      </c>
      <c r="I39" s="35" t="inlineStr">
        <is>
          <t>OneMap 自动匹配</t>
        </is>
      </c>
      <c r="J39" s="35" t="inlineStr">
        <is>
          <t>距景点代表点 421 m；名称匹配度 100%</t>
        </is>
      </c>
    </row>
    <row r="40">
      <c r="A40" s="33" t="inlineStr">
        <is>
          <t>place:stb_attractions:1024</t>
        </is>
      </c>
      <c r="B40" s="33" t="inlineStr">
        <is>
          <t>Peranakan Museum</t>
        </is>
      </c>
      <c r="C40" s="34" t="inlineStr">
        <is>
          <t>Peranakan Museum 建筑位置（非精确门口）</t>
        </is>
      </c>
      <c r="D40" s="35" t="n">
        <v>1.2942875</v>
      </c>
      <c r="E40" s="35" t="n">
        <v>103.8490414</v>
      </c>
      <c r="F40" s="35" t="inlineStr">
        <is>
          <t>主入口</t>
        </is>
      </c>
      <c r="G40" s="35" t="n"/>
      <c r="H40" s="35" t="inlineStr">
        <is>
          <t>OneMap：PERANAKAN MUSEUM｜39 ARMENIAN STREET PERANAKAN MUSEUM SINGAPORE 179941</t>
        </is>
      </c>
      <c r="I40" s="35" t="inlineStr">
        <is>
          <t>OneMap 自动匹配</t>
        </is>
      </c>
      <c r="J40" s="35" t="inlineStr">
        <is>
          <t>距景点代表点 37 m；名称匹配度 100%；OneMap 给的是建筑位置，不是精确门口</t>
        </is>
      </c>
    </row>
    <row r="41">
      <c r="A41" s="33" t="inlineStr">
        <is>
          <t>place:stb_attractions:1025</t>
        </is>
      </c>
      <c r="B41" s="33" t="inlineStr">
        <is>
          <t>Raffles Singapore</t>
        </is>
      </c>
      <c r="C41" s="34" t="inlineStr">
        <is>
          <t>Raffles Hotel（外观）</t>
        </is>
      </c>
      <c r="D41" s="35" t="n">
        <v>1.295764</v>
      </c>
      <c r="E41" s="35" t="n">
        <v>103.8540278</v>
      </c>
      <c r="F41" s="35" t="inlineStr">
        <is>
          <t>主入口</t>
        </is>
      </c>
      <c r="G41" s="35" t="n"/>
      <c r="H41" s="35" t="inlineStr">
        <is>
          <t>OneMap：RAFFLES HOTEL｜328 NORTH BRIDGE ROAD RAFFLES HOTEL</t>
        </is>
      </c>
      <c r="I41" s="35" t="inlineStr">
        <is>
          <t>OneMap 自动匹配</t>
        </is>
      </c>
      <c r="J41" s="35" t="inlineStr">
        <is>
          <t>距景点代表点 26 m；名称匹配度 100%</t>
        </is>
      </c>
    </row>
    <row r="42">
      <c r="A42" s="33" t="inlineStr">
        <is>
          <t>place:stb_attractions:973</t>
        </is>
      </c>
      <c r="B42" s="33" t="inlineStr">
        <is>
          <t>Singapore River（克拉码头一带）</t>
        </is>
      </c>
      <c r="C42" s="34" t="inlineStr">
        <is>
          <t>Clarke Quay</t>
        </is>
      </c>
      <c r="D42" s="35" t="n">
        <v>1.288386</v>
      </c>
      <c r="E42" s="35" t="n">
        <v>103.8465552</v>
      </c>
      <c r="F42" s="35" t="inlineStr">
        <is>
          <t>主入口</t>
        </is>
      </c>
      <c r="G42" s="35" t="n"/>
      <c r="H42" s="35" t="inlineStr">
        <is>
          <t>OneMap：CLARKE QUAY MRT STATION (NE5)｜10 EU TONG SEN STREET CLARKE QUAY MRT STATION (NE5) SINGAPORE 059815</t>
        </is>
      </c>
      <c r="I42" s="35" t="inlineStr">
        <is>
          <t>OneMap 自动匹配</t>
        </is>
      </c>
      <c r="J42" s="35" t="inlineStr">
        <is>
          <t>距景点代表点 49 m；名称匹配度 100%</t>
        </is>
      </c>
    </row>
    <row r="43">
      <c r="A43" s="33" t="inlineStr">
        <is>
          <t>place:stb_attractions:973</t>
        </is>
      </c>
      <c r="B43" s="33" t="inlineStr">
        <is>
          <t>Singapore River（克拉码头一带）</t>
        </is>
      </c>
      <c r="C43" s="34" t="inlineStr">
        <is>
          <t>Boat Quay</t>
        </is>
      </c>
      <c r="D43" s="35" t="n">
        <v>1.2872358</v>
      </c>
      <c r="E43" s="35" t="n">
        <v>103.8484294</v>
      </c>
      <c r="F43" s="35" t="inlineStr">
        <is>
          <t>次入口</t>
        </is>
      </c>
      <c r="G43" s="35" t="n"/>
      <c r="H43" s="35" t="inlineStr">
        <is>
          <t>OneMap：BOAT QUAY CONSERVATION AREA｜51 SOUTH BRIDGE ROAD BOAT QUAY CONSERVATION AREA SINGAPORE 058683</t>
        </is>
      </c>
      <c r="I43" s="35" t="inlineStr">
        <is>
          <t>OneMap 自动匹配</t>
        </is>
      </c>
      <c r="J43" s="35" t="inlineStr">
        <is>
          <t>距景点代表点 204 m；名称匹配度 100%</t>
        </is>
      </c>
    </row>
    <row r="44">
      <c r="A44" s="33" t="inlineStr">
        <is>
          <t>place:stb_attractions:976</t>
        </is>
      </c>
      <c r="B44" s="33" t="inlineStr">
        <is>
          <t>Chinatown（牛车水）</t>
        </is>
      </c>
      <c r="C44" s="34" t="inlineStr">
        <is>
          <t>Chinatown 地铁站</t>
        </is>
      </c>
      <c r="D44" s="35" t="n">
        <v>1.2837351</v>
      </c>
      <c r="E44" s="35" t="n">
        <v>103.8437534</v>
      </c>
      <c r="F44" s="35" t="inlineStr">
        <is>
          <t>地铁/公交方向</t>
        </is>
      </c>
      <c r="G44" s="35" t="n"/>
      <c r="H44" s="35" t="inlineStr">
        <is>
          <t>OneMap：CHINATOWN MRT STATION EXIT A｜CHINATOWN MRT STATION EXIT A</t>
        </is>
      </c>
      <c r="I44" s="35" t="inlineStr">
        <is>
          <t>OneMap 自动匹配</t>
        </is>
      </c>
      <c r="J44" s="35" t="inlineStr">
        <is>
          <t>距景点代表点 193 m；名称匹配度 100%</t>
        </is>
      </c>
    </row>
    <row r="45">
      <c r="A45" s="33" t="inlineStr">
        <is>
          <t>place:stb_attractions:976</t>
        </is>
      </c>
      <c r="B45" s="33" t="inlineStr">
        <is>
          <t>Chinatown（牛车水）</t>
        </is>
      </c>
      <c r="C45" s="34" t="inlineStr">
        <is>
          <t>Chinatown Complex</t>
        </is>
      </c>
      <c r="D45" s="35" t="n">
        <v>1.282275</v>
      </c>
      <c r="E45" s="35" t="n">
        <v>103.8432385</v>
      </c>
      <c r="F45" s="35" t="inlineStr">
        <is>
          <t>次入口</t>
        </is>
      </c>
      <c r="G45" s="35" t="n"/>
      <c r="H45" s="35" t="inlineStr">
        <is>
          <t>OneMap：CHINATOWN COMPLEX｜335 SMITH STREET CHINATOWN COMPLEX SINGAPORE 050335</t>
        </is>
      </c>
      <c r="I45" s="35" t="inlineStr">
        <is>
          <t>OneMap 自动匹配</t>
        </is>
      </c>
      <c r="J45" s="35" t="inlineStr">
        <is>
          <t>距景点代表点 67 m；名称匹配度 100%</t>
        </is>
      </c>
    </row>
    <row r="46">
      <c r="A46" s="33" t="inlineStr">
        <is>
          <t>place:stb_attractions:1003</t>
        </is>
      </c>
      <c r="B46" s="33" t="inlineStr">
        <is>
          <t>Sri Mariamman Temple</t>
        </is>
      </c>
      <c r="C46" s="34" t="inlineStr">
        <is>
          <t>Sri Mariamman Temple 建筑位置（非精确门口）</t>
        </is>
      </c>
      <c r="D46" s="35" t="n">
        <v>1.2826758</v>
      </c>
      <c r="E46" s="35" t="n">
        <v>103.8451555</v>
      </c>
      <c r="F46" s="35" t="inlineStr">
        <is>
          <t>主入口</t>
        </is>
      </c>
      <c r="G46" s="35" t="n"/>
      <c r="H46" s="35" t="inlineStr">
        <is>
          <t>OneMap：SRI MARIAMMAN TEMPLE｜244 SOUTH BRIDGE ROAD SRI MARIAMMAN TEMPLE SINGAPORE 058793</t>
        </is>
      </c>
      <c r="I46" s="35" t="inlineStr">
        <is>
          <t>OneMap 自动匹配</t>
        </is>
      </c>
      <c r="J46" s="35" t="inlineStr">
        <is>
          <t>距景点代表点 79 m；名称匹配度 100%；OneMap 给的是建筑位置，不是精确门口</t>
        </is>
      </c>
    </row>
    <row r="47">
      <c r="A47" s="33" t="inlineStr">
        <is>
          <t>place:stb_attractions:994</t>
        </is>
      </c>
      <c r="B47" s="33" t="inlineStr">
        <is>
          <t>Little India（小印度）</t>
        </is>
      </c>
      <c r="C47" s="34" t="inlineStr">
        <is>
          <t>Little India 地铁站</t>
        </is>
      </c>
      <c r="D47" s="35" t="n">
        <v>1.3072438</v>
      </c>
      <c r="E47" s="35" t="n">
        <v>103.8498416</v>
      </c>
      <c r="F47" s="35" t="inlineStr">
        <is>
          <t>地铁/公交方向</t>
        </is>
      </c>
      <c r="G47" s="35" t="n"/>
      <c r="H47" s="35" t="inlineStr">
        <is>
          <t>OneMap：LITTLE INDIA MRT STATION｜60 BUKIT TIMAH ROAD LITTLE INDIA MRT STATION</t>
        </is>
      </c>
      <c r="I47" s="35" t="inlineStr">
        <is>
          <t>OneMap 自动匹配</t>
        </is>
      </c>
      <c r="J47" s="35" t="inlineStr">
        <is>
          <t>距景点代表点 27 m；名称匹配度 100%</t>
        </is>
      </c>
    </row>
    <row r="48">
      <c r="A48" s="33" t="inlineStr">
        <is>
          <t>place:stb_attractions:994</t>
        </is>
      </c>
      <c r="B48" s="33" t="inlineStr">
        <is>
          <t>Little India（小印度）</t>
        </is>
      </c>
      <c r="C48" s="34" t="inlineStr">
        <is>
          <t>Tekka Centre</t>
        </is>
      </c>
      <c r="D48" s="35" t="n">
        <v>1.306711</v>
      </c>
      <c r="E48" s="35" t="n">
        <v>103.8501344</v>
      </c>
      <c r="F48" s="35" t="inlineStr">
        <is>
          <t>次入口</t>
        </is>
      </c>
      <c r="G48" s="35" t="n"/>
      <c r="H48" s="35" t="inlineStr">
        <is>
          <t>OneMap：ZHUJIAO CENTRE (TEKKA MARKET)｜661 BUFFALO ROAD ZHUJIAO CENTRE (TEKKA MARKET) SINGAPORE 210661</t>
        </is>
      </c>
      <c r="I48" s="35" t="inlineStr">
        <is>
          <t>OneMap 自动匹配</t>
        </is>
      </c>
      <c r="J48" s="35" t="inlineStr">
        <is>
          <t>距景点代表点 47 m；名称匹配度 100%</t>
        </is>
      </c>
    </row>
    <row r="49">
      <c r="A49" s="33" t="inlineStr">
        <is>
          <t>place:stb_attractions:1002</t>
        </is>
      </c>
      <c r="B49" s="33" t="inlineStr">
        <is>
          <t>Sultan Mosque（甘榜格南）</t>
        </is>
      </c>
      <c r="C49" s="34" t="inlineStr">
        <is>
          <t>Masjid Sultan 建筑位置（非精确门口）</t>
        </is>
      </c>
      <c r="D49" s="35" t="n">
        <v>1.3022375</v>
      </c>
      <c r="E49" s="35" t="n">
        <v>103.8590043</v>
      </c>
      <c r="F49" s="35" t="inlineStr">
        <is>
          <t>主入口</t>
        </is>
      </c>
      <c r="G49" s="35" t="n"/>
      <c r="H49" s="35" t="inlineStr">
        <is>
          <t>OneMap：MASJID SULTAN｜3 MUSCAT STREET MASJID SULTAN SINGAPORE 198833</t>
        </is>
      </c>
      <c r="I49" s="35" t="inlineStr">
        <is>
          <t>OneMap 自动匹配</t>
        </is>
      </c>
      <c r="J49" s="35" t="inlineStr">
        <is>
          <t>距景点代表点 32 m；名称匹配度 100%；OneMap 给的是建筑位置，不是精确门口</t>
        </is>
      </c>
    </row>
    <row r="50">
      <c r="A50" s="33" t="inlineStr">
        <is>
          <t>place:stb_attractions:1011</t>
        </is>
      </c>
      <c r="B50" s="33" t="inlineStr">
        <is>
          <t>Thian Hock Keng Temple</t>
        </is>
      </c>
      <c r="C50" s="34" t="inlineStr">
        <is>
          <t>Thian Hock Keng 建筑位置（非精确门口）</t>
        </is>
      </c>
      <c r="D50" s="35" t="n">
        <v>1.2810839</v>
      </c>
      <c r="E50" s="35" t="n">
        <v>103.8475075</v>
      </c>
      <c r="F50" s="35" t="inlineStr">
        <is>
          <t>主入口</t>
        </is>
      </c>
      <c r="G50" s="35" t="n"/>
      <c r="H50" s="35" t="inlineStr">
        <is>
          <t>OneMap：THIAN HOCK KENG｜158 TELOK AYER STREET THIAN HOCK KENG SINGAPORE 068613</t>
        </is>
      </c>
      <c r="I50" s="35" t="inlineStr">
        <is>
          <t>OneMap 自动匹配</t>
        </is>
      </c>
      <c r="J50" s="35" t="inlineStr">
        <is>
          <t>距景点代表点 17 m；名称匹配度 100%；OneMap 给的是建筑位置，不是精确门口</t>
        </is>
      </c>
    </row>
    <row r="51">
      <c r="A51" s="33" t="inlineStr">
        <is>
          <t>place:stb_attractions:1068</t>
        </is>
      </c>
      <c r="B51" s="33" t="inlineStr">
        <is>
          <t>Sri Veeramakaliamman Temple</t>
        </is>
      </c>
      <c r="C51" s="34" t="inlineStr">
        <is>
          <t>Sri Veeramakaliamman Temple 建筑位置（非精确门口）</t>
        </is>
      </c>
      <c r="D51" s="35" t="n">
        <v>1.3079119</v>
      </c>
      <c r="E51" s="35" t="n">
        <v>103.8524305</v>
      </c>
      <c r="F51" s="35" t="inlineStr">
        <is>
          <t>主入口</t>
        </is>
      </c>
      <c r="G51" s="35" t="n"/>
      <c r="H51" s="35" t="inlineStr">
        <is>
          <t>OneMap：SRI VEERAMA KALIAMMAN TEMPLE｜141 SERANGOON ROAD SRI VEERAMA KALIAMMAN TEMPLE SINGAPORE 218042</t>
        </is>
      </c>
      <c r="I51" s="35" t="inlineStr">
        <is>
          <t>OneMap 自动匹配</t>
        </is>
      </c>
      <c r="J51" s="35" t="inlineStr">
        <is>
          <t>距景点代表点 19 m；名称匹配度 67%；OneMap 给的是建筑位置，不是精确门口</t>
        </is>
      </c>
    </row>
    <row r="52">
      <c r="A52" s="33" t="inlineStr">
        <is>
          <t>place:stb_attractions:1023</t>
        </is>
      </c>
      <c r="B52" s="33" t="inlineStr">
        <is>
          <t>Malay Heritage Centre</t>
        </is>
      </c>
      <c r="C52" s="34" t="inlineStr">
        <is>
          <t>Malay Heritage Centre 建筑位置（非精确门口）</t>
        </is>
      </c>
      <c r="D52" s="35" t="n">
        <v>1.3028812</v>
      </c>
      <c r="E52" s="35" t="n">
        <v>103.8598685</v>
      </c>
      <c r="F52" s="35" t="inlineStr">
        <is>
          <t>主入口</t>
        </is>
      </c>
      <c r="G52" s="35" t="n"/>
      <c r="H52" s="35" t="inlineStr">
        <is>
          <t>OneMap：MALAY HERITAGE CENTRE｜85 SULTAN GATE MALAY HERITAGE CENTRE SINGAPORE 198501</t>
        </is>
      </c>
      <c r="I52" s="35" t="inlineStr">
        <is>
          <t>OneMap 自动匹配</t>
        </is>
      </c>
      <c r="J52" s="35" t="inlineStr">
        <is>
          <t>距景点代表点 13 m；名称匹配度 100%；OneMap 给的是建筑位置，不是精确门口</t>
        </is>
      </c>
    </row>
    <row r="53">
      <c r="A53" s="33" t="inlineStr">
        <is>
          <t>place:stb_attractions:974</t>
        </is>
      </c>
      <c r="B53" s="33" t="inlineStr">
        <is>
          <t>Joo Chiat / Katong</t>
        </is>
      </c>
      <c r="C53" s="34" t="inlineStr">
        <is>
          <t>Koon Seng Road（彩色店屋）</t>
        </is>
      </c>
      <c r="D53" s="35" t="n">
        <v>1.3109021</v>
      </c>
      <c r="E53" s="35" t="n">
        <v>103.9033842</v>
      </c>
      <c r="F53" s="35" t="inlineStr">
        <is>
          <t>主入口</t>
        </is>
      </c>
      <c r="G53" s="35" t="n"/>
      <c r="H53" s="35" t="inlineStr">
        <is>
          <t>OneMap：KOON SENG ROAD｜KOON SENG ROAD</t>
        </is>
      </c>
      <c r="I53" s="35" t="inlineStr">
        <is>
          <t>OneMap 自动匹配</t>
        </is>
      </c>
      <c r="J53" s="35" t="inlineStr">
        <is>
          <t>距景点代表点 559 m；名称匹配度 100%</t>
        </is>
      </c>
    </row>
    <row r="54">
      <c r="A54" s="33" t="inlineStr">
        <is>
          <t>place:stb_attractions:974</t>
        </is>
      </c>
      <c r="B54" s="33" t="inlineStr">
        <is>
          <t>Joo Chiat / Katong</t>
        </is>
      </c>
      <c r="C54" s="34" t="inlineStr">
        <is>
          <t>Joo Chiat Complex</t>
        </is>
      </c>
      <c r="D54" s="35" t="n">
        <v>1.315877</v>
      </c>
      <c r="E54" s="35" t="n">
        <v>103.898378</v>
      </c>
      <c r="F54" s="35" t="inlineStr">
        <is>
          <t>次入口</t>
        </is>
      </c>
      <c r="G54" s="35" t="n"/>
      <c r="H54" s="35" t="inlineStr">
        <is>
          <t>OneMap：JOO CHIAT COMPLEX｜1 JOO CHIAT ROAD</t>
        </is>
      </c>
      <c r="I54" s="35" t="inlineStr">
        <is>
          <t>OneMap 自动匹配</t>
        </is>
      </c>
      <c r="J54" s="35" t="inlineStr">
        <is>
          <t>Claude 从候选中改选建筑本身（原为楼内商铺）</t>
        </is>
      </c>
    </row>
    <row r="55">
      <c r="A55" s="33" t="inlineStr">
        <is>
          <t>place:stb_attractions:1034</t>
        </is>
      </c>
      <c r="B55" s="33" t="inlineStr">
        <is>
          <t>Henderson Waves Bridge</t>
        </is>
      </c>
      <c r="C55" s="34" t="inlineStr">
        <is>
          <t>Henderson Waves</t>
        </is>
      </c>
      <c r="D55" s="35" t="n">
        <v>1.2761108</v>
      </c>
      <c r="E55" s="35" t="n">
        <v>103.8153571</v>
      </c>
      <c r="F55" s="35" t="inlineStr">
        <is>
          <t>主入口</t>
        </is>
      </c>
      <c r="G55" s="35" t="n"/>
      <c r="H55" s="35" t="inlineStr">
        <is>
          <t>OneMap：HENDERSON WAVES BRIDGE｜HENDERSON ROAD HENDERSON WAVES BRIDGE</t>
        </is>
      </c>
      <c r="I55" s="35" t="inlineStr">
        <is>
          <t>OneMap 自动匹配</t>
        </is>
      </c>
      <c r="J55" s="35" t="inlineStr">
        <is>
          <t>距景点代表点 17 m；名称匹配度 100%</t>
        </is>
      </c>
    </row>
    <row r="56">
      <c r="A56" s="33" t="inlineStr">
        <is>
          <t>place:nhb_monuments:1684</t>
        </is>
      </c>
      <c r="B56" s="33" t="inlineStr">
        <is>
          <t>Fort Siloso</t>
        </is>
      </c>
      <c r="C56" s="34" t="inlineStr">
        <is>
          <t>Fort Siloso</t>
        </is>
      </c>
      <c r="D56" s="35" t="n">
        <v>1.2595902</v>
      </c>
      <c r="E56" s="35" t="n">
        <v>103.8080592</v>
      </c>
      <c r="F56" s="35" t="inlineStr">
        <is>
          <t>主入口</t>
        </is>
      </c>
      <c r="G56" s="35" t="n"/>
      <c r="H56" s="35" t="inlineStr">
        <is>
          <t>OneMap：SENTOSA - FORT SILOSO｜103 SILOSO ROAD SENTOSA - FORT SILOSO SINGAPORE 098978</t>
        </is>
      </c>
      <c r="I56" s="35" t="inlineStr">
        <is>
          <t>OneMap 自动匹配</t>
        </is>
      </c>
      <c r="J56" s="35" t="inlineStr">
        <is>
          <t>距景点代表点 3469 m；名称匹配度 100%</t>
        </is>
      </c>
    </row>
    <row r="57">
      <c r="A57" s="33" t="inlineStr">
        <is>
          <t>place:stb_attractions:1037</t>
        </is>
      </c>
      <c r="B57" s="33" t="inlineStr">
        <is>
          <t>Haw Par Villa</t>
        </is>
      </c>
      <c r="C57" s="34" t="inlineStr">
        <is>
          <t>Haw Par Villa（地铁站旁）</t>
        </is>
      </c>
      <c r="D57" s="35" t="n">
        <v>1.2837242</v>
      </c>
      <c r="E57" s="35" t="n">
        <v>103.7824037</v>
      </c>
      <c r="F57" s="35" t="inlineStr">
        <is>
          <t>主入口</t>
        </is>
      </c>
      <c r="G57" s="35" t="n"/>
      <c r="H57" s="35" t="inlineStr">
        <is>
          <t>OneMap：HAW PAR VILLA｜262 PASIR PANJANG ROAD HAW PAR VILLA</t>
        </is>
      </c>
      <c r="I57" s="35" t="inlineStr">
        <is>
          <t>OneMap 自动匹配</t>
        </is>
      </c>
      <c r="J57" s="35" t="inlineStr">
        <is>
          <t>距景点代表点 266 m；名称匹配度 100%</t>
        </is>
      </c>
    </row>
    <row r="58">
      <c r="A58" s="33" t="inlineStr">
        <is>
          <t>place:stb_attractions:995</t>
        </is>
      </c>
      <c r="B58" s="33" t="inlineStr">
        <is>
          <t>Orchard Road</t>
        </is>
      </c>
      <c r="C58" s="34" t="inlineStr">
        <is>
          <t>Orchard 地铁站</t>
        </is>
      </c>
      <c r="D58" s="35" t="n">
        <v>1.3039801</v>
      </c>
      <c r="E58" s="35" t="n">
        <v>103.8322452</v>
      </c>
      <c r="F58" s="35" t="inlineStr">
        <is>
          <t>地铁/公交方向</t>
        </is>
      </c>
      <c r="G58" s="35" t="n"/>
      <c r="H58" s="35" t="inlineStr">
        <is>
          <t>OneMap：ORCHARD MRT STATION (NS22)｜437 ORCHARD ROAD ORCHARD MRT STATION (NS22) SINGAPORE 238878</t>
        </is>
      </c>
      <c r="I58" s="35" t="inlineStr">
        <is>
          <t>OneMap 自动匹配</t>
        </is>
      </c>
      <c r="J58" s="35" t="inlineStr">
        <is>
          <t>距景点代表点 27 m；名称匹配度 100%</t>
        </is>
      </c>
    </row>
    <row r="59">
      <c r="A59" s="33" t="inlineStr">
        <is>
          <t>place:stb_attractions:995</t>
        </is>
      </c>
      <c r="B59" s="33" t="inlineStr">
        <is>
          <t>Orchard Road</t>
        </is>
      </c>
      <c r="C59" s="34" t="inlineStr">
        <is>
          <t>Somerset 地铁站</t>
        </is>
      </c>
      <c r="D59" s="35" t="n">
        <v>1.3007847</v>
      </c>
      <c r="E59" s="35" t="n">
        <v>103.8384548</v>
      </c>
      <c r="F59" s="35" t="inlineStr">
        <is>
          <t>地铁/公交方向</t>
        </is>
      </c>
      <c r="G59" s="35" t="n"/>
      <c r="H59" s="35" t="inlineStr">
        <is>
          <t>OneMap：SOMERSET MRT STATION EXIT B｜SOMERSET MRT STATION EXIT B</t>
        </is>
      </c>
      <c r="I59" s="35" t="inlineStr">
        <is>
          <t>OneMap 自动匹配</t>
        </is>
      </c>
      <c r="J59" s="35" t="inlineStr">
        <is>
          <t>距景点代表点 753 m；名称匹配度 100%</t>
        </is>
      </c>
    </row>
    <row r="60">
      <c r="A60" s="33" t="inlineStr">
        <is>
          <t>place:nparks_parks:120207</t>
        </is>
      </c>
      <c r="B60" s="33" t="inlineStr">
        <is>
          <t>MacRitchie Reservoir Park</t>
        </is>
      </c>
      <c r="C60" s="34" t="inlineStr">
        <is>
          <t>MacRitchie Reservoir Park 主入口</t>
        </is>
      </c>
      <c r="D60" s="35" t="n">
        <v>1.341523</v>
      </c>
      <c r="E60" s="35" t="n">
        <v>103.8335904</v>
      </c>
      <c r="F60" s="35" t="inlineStr">
        <is>
          <t>主入口</t>
        </is>
      </c>
      <c r="G60" s="35" t="n"/>
      <c r="H60" s="35" t="inlineStr">
        <is>
          <t>OneMap：MACRITCHIE RESERVOIR PARK｜MACRITCHIE RESERVOIR PARK</t>
        </is>
      </c>
      <c r="I60" s="35" t="inlineStr">
        <is>
          <t>OneMap 自动匹配</t>
        </is>
      </c>
      <c r="J60" s="35" t="inlineStr">
        <is>
          <t>距景点代表点 368 m；名称匹配度 100%</t>
        </is>
      </c>
    </row>
    <row r="61">
      <c r="A61" s="33" t="inlineStr">
        <is>
          <t>place:nparks_parks:120207</t>
        </is>
      </c>
      <c r="B61" s="33" t="inlineStr">
        <is>
          <t>MacRitchie Reservoir Park</t>
        </is>
      </c>
      <c r="C61" s="34" t="inlineStr">
        <is>
          <t>TreeTop Walk</t>
        </is>
      </c>
      <c r="D61" s="35" t="n">
        <v>1.3574896</v>
      </c>
      <c r="E61" s="35" t="n">
        <v>103.8089259</v>
      </c>
      <c r="F61" s="35" t="inlineStr">
        <is>
          <t>次入口</t>
        </is>
      </c>
      <c r="G61" s="35" t="n"/>
      <c r="H61" s="35" t="inlineStr">
        <is>
          <t>OneMap：HSBC TREETOP WALK｜ISLAND CLUB ROAD HSBC TREETOP WALK</t>
        </is>
      </c>
      <c r="I61" s="35" t="inlineStr">
        <is>
          <t>OneMap 自动匹配</t>
        </is>
      </c>
      <c r="J61" s="35" t="inlineStr">
        <is>
          <t>距景点代表点 3418 m；名称匹配度 100%</t>
        </is>
      </c>
    </row>
    <row r="62">
      <c r="A62" s="33" t="inlineStr">
        <is>
          <t>place:stb_attractions:966</t>
        </is>
      </c>
      <c r="B62" s="33" t="inlineStr">
        <is>
          <t>East Coast Park</t>
        </is>
      </c>
      <c r="C62" s="34" t="inlineStr">
        <is>
          <t>Marine Cove</t>
        </is>
      </c>
      <c r="D62" s="35" t="n"/>
      <c r="E62" s="35" t="n"/>
      <c r="F62" s="35" t="inlineStr">
        <is>
          <t>主入口</t>
        </is>
      </c>
      <c r="G62" s="35" t="n"/>
      <c r="H62" s="35" t="n"/>
      <c r="I62" s="35" t="inlineStr">
        <is>
          <t>待补充</t>
        </is>
      </c>
      <c r="J62" s="35" t="inlineStr">
        <is>
          <t>OneMap 在景点 2 km 内没有找到名称相符的结果，需手动取点</t>
        </is>
      </c>
    </row>
    <row r="63">
      <c r="A63" s="33" t="inlineStr">
        <is>
          <t>place:stb_attractions:966</t>
        </is>
      </c>
      <c r="B63" s="33" t="inlineStr">
        <is>
          <t>East Coast Park</t>
        </is>
      </c>
      <c r="C63" s="34" t="inlineStr">
        <is>
          <t>East Coast Lagoon Food Village</t>
        </is>
      </c>
      <c r="D63" s="35" t="n">
        <v>1.3072611</v>
      </c>
      <c r="E63" s="35" t="n">
        <v>103.9347997</v>
      </c>
      <c r="F63" s="35" t="inlineStr">
        <is>
          <t>次入口</t>
        </is>
      </c>
      <c r="G63" s="35" t="n"/>
      <c r="H63" s="35" t="inlineStr">
        <is>
          <t>OneMap：EAST COAST LAGOON FOOD VILLAGE｜1220 EAST COAST PARKWAY EAST COAST LAGOON FOOD VILLAGE SINGAPORE 468960</t>
        </is>
      </c>
      <c r="I63" s="35" t="inlineStr">
        <is>
          <t>OneMap 自动匹配</t>
        </is>
      </c>
      <c r="J63" s="35" t="inlineStr">
        <is>
          <t>距景点代表点 2608 m；名称匹配度 100%</t>
        </is>
      </c>
    </row>
    <row r="64">
      <c r="A64" s="33" t="inlineStr">
        <is>
          <t>place:nparks_parks:120210</t>
        </is>
      </c>
      <c r="B64" s="33" t="inlineStr">
        <is>
          <t>Jurong Lake Gardens (Lakeside Garden)</t>
        </is>
      </c>
      <c r="C64" s="34" t="inlineStr">
        <is>
          <t>Jurong Lake Gardens</t>
        </is>
      </c>
      <c r="D64" s="35" t="n">
        <v>1.333671</v>
      </c>
      <c r="E64" s="35" t="n">
        <v>103.726779</v>
      </c>
      <c r="F64" s="35" t="inlineStr">
        <is>
          <t>主入口</t>
        </is>
      </c>
      <c r="G64" s="35" t="n"/>
      <c r="H64" s="35" t="inlineStr">
        <is>
          <t>OneMap：JLG: LAKESIDE GARDEN</t>
        </is>
      </c>
      <c r="I64" s="35" t="inlineStr">
        <is>
          <t>OneMap 自动匹配</t>
        </is>
      </c>
      <c r="J64" s="35" t="inlineStr">
        <is>
          <t>Claude 改选；原匹配 Passion Wave（园内水上活动中心）</t>
        </is>
      </c>
    </row>
    <row r="65">
      <c r="A65" s="33" t="inlineStr">
        <is>
          <t>place:nparks_parks:120210</t>
        </is>
      </c>
      <c r="B65" s="33" t="inlineStr">
        <is>
          <t>Jurong Lake Gardens (Lakeside Garden)</t>
        </is>
      </c>
      <c r="C65" s="34" t="inlineStr">
        <is>
          <t>Lakeside 地铁站</t>
        </is>
      </c>
      <c r="D65" s="35" t="n">
        <v>1.3443026</v>
      </c>
      <c r="E65" s="35" t="n">
        <v>103.7217171</v>
      </c>
      <c r="F65" s="35" t="inlineStr">
        <is>
          <t>地铁/公交方向</t>
        </is>
      </c>
      <c r="G65" s="35" t="n"/>
      <c r="H65" s="35" t="inlineStr">
        <is>
          <t>OneMap：LAKESIDE MRT STATION EXIT C｜LAKESIDE MRT STATION EXIT C</t>
        </is>
      </c>
      <c r="I65" s="35" t="inlineStr">
        <is>
          <t>OneMap 自动匹配</t>
        </is>
      </c>
      <c r="J65" s="35" t="inlineStr">
        <is>
          <t>距景点代表点 1318 m；名称匹配度 100%</t>
        </is>
      </c>
    </row>
    <row r="66">
      <c r="A66" s="33" t="inlineStr">
        <is>
          <t>place:stb_attractions:965</t>
        </is>
      </c>
      <c r="B66" s="33" t="inlineStr">
        <is>
          <t>Chinese Garden</t>
        </is>
      </c>
      <c r="C66" s="34" t="inlineStr">
        <is>
          <t>Chinese Garden 地铁站</t>
        </is>
      </c>
      <c r="D66" s="35" t="n">
        <v>1.3422343</v>
      </c>
      <c r="E66" s="35" t="n">
        <v>103.7324148</v>
      </c>
      <c r="F66" s="35" t="inlineStr">
        <is>
          <t>地铁/公交方向</t>
        </is>
      </c>
      <c r="G66" s="35" t="n"/>
      <c r="H66" s="35" t="inlineStr">
        <is>
          <t>OneMap：CHINESE GARDEN MRT STATION EXIT B｜CHINESE GARDEN MRT STATION EXIT B</t>
        </is>
      </c>
      <c r="I66" s="35" t="inlineStr">
        <is>
          <t>OneMap 自动匹配</t>
        </is>
      </c>
      <c r="J66" s="35" t="inlineStr">
        <is>
          <t>距景点代表点 449 m；名称匹配度 100%</t>
        </is>
      </c>
    </row>
    <row r="67">
      <c r="A67" s="33" t="inlineStr">
        <is>
          <t>place:nparks_parks:120345</t>
        </is>
      </c>
      <c r="B67" s="33" t="inlineStr">
        <is>
          <t>HortPark</t>
        </is>
      </c>
      <c r="C67" s="34" t="inlineStr">
        <is>
          <t>HortPark</t>
        </is>
      </c>
      <c r="D67" s="35" t="n">
        <v>1.2792629</v>
      </c>
      <c r="E67" s="35" t="n">
        <v>103.797934</v>
      </c>
      <c r="F67" s="35" t="inlineStr">
        <is>
          <t>主入口</t>
        </is>
      </c>
      <c r="G67" s="35" t="n"/>
      <c r="H67" s="35" t="inlineStr">
        <is>
          <t>OneMap：HORTPARK｜HORTPARK</t>
        </is>
      </c>
      <c r="I67" s="35" t="inlineStr">
        <is>
          <t>OneMap 自动匹配</t>
        </is>
      </c>
      <c r="J67" s="35" t="inlineStr">
        <is>
          <t>距景点代表点 24 m；名称匹配度 100%</t>
        </is>
      </c>
    </row>
    <row r="68">
      <c r="A68" s="33" t="inlineStr">
        <is>
          <t>place:stb_attractions:962</t>
        </is>
      </c>
      <c r="B68" s="33" t="inlineStr">
        <is>
          <t>Singapore Science Centre</t>
        </is>
      </c>
      <c r="C68" s="34" t="inlineStr">
        <is>
          <t>Science Centre Singapore 建筑位置（非精确门口）</t>
        </is>
      </c>
      <c r="D68" s="35" t="n">
        <v>1.3328387</v>
      </c>
      <c r="E68" s="35" t="n">
        <v>103.7358206</v>
      </c>
      <c r="F68" s="35" t="inlineStr">
        <is>
          <t>主入口</t>
        </is>
      </c>
      <c r="G68" s="35" t="n"/>
      <c r="H68" s="35" t="inlineStr">
        <is>
          <t>OneMap：SCIENCE CENTRE SINGAPORE｜15 SCIENCE CENTRE ROAD SCIENCE CENTRE SINGAPORE SINGAPORE 609081</t>
        </is>
      </c>
      <c r="I68" s="35" t="inlineStr">
        <is>
          <t>OneMap 自动匹配</t>
        </is>
      </c>
      <c r="J68" s="35" t="inlineStr">
        <is>
          <t>距景点代表点 19 m；名称匹配度 100%；OneMap 给的是建筑位置，不是精确门口</t>
        </is>
      </c>
    </row>
  </sheetData>
  <dataValidations count="3">
    <dataValidation sqref="F2:F500" showDropDown="0" showInputMessage="0" showErrorMessage="0" allowBlank="1" type="list" errorStyle="stop" operator="between">
      <formula1>"主入口,次入口,停车场,地铁/公交方向,码头"</formula1>
      <formula2>0</formula2>
    </dataValidation>
    <dataValidation sqref="G2:G500" showDropDown="0" showInputMessage="0" showErrorMessage="0" allowBlank="1" type="list" errorStyle="stop" operator="between">
      <formula1>"是,否,未知"</formula1>
      <formula2>0</formula2>
    </dataValidation>
    <dataValidation sqref="I2:I500" showDropDown="0" showInputMessage="0" showErrorMessage="0" allowBlank="1" type="list" errorStyle="stop" operator="between">
      <formula1>"待核验,资料核对（Claude）,待补充,已确认,需修改"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2026-10-22T11:02:30Z</dcterms:created>
  <dcterms:modified xsi:type="dcterms:W3CDTF">2026-10-22T11:25:47Z</dcterms:modified>
  <cp:revision>0</cp:revision>
</cp:coreProperties>
</file>